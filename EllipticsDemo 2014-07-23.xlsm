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btre\Documents\Programming\VBcode\Special Functions\Elliptic\"/>
    </mc:Choice>
  </mc:AlternateContent>
  <xr:revisionPtr revIDLastSave="0" documentId="13_ncr:1_{B649997B-294B-40B1-ACEB-5E92B72999CF}" xr6:coauthVersionLast="43" xr6:coauthVersionMax="43" xr10:uidLastSave="{00000000-0000-0000-0000-000000000000}"/>
  <bookViews>
    <workbookView xWindow="768" yWindow="1416" windowWidth="19512" windowHeight="10896" xr2:uid="{00000000-000D-0000-FFFF-FFFF00000000}"/>
  </bookViews>
  <sheets>
    <sheet name="Main" sheetId="1" r:id="rId1"/>
    <sheet name="CompEllInt" sheetId="2" r:id="rId2"/>
    <sheet name="Near M=1" sheetId="3" r:id="rId3"/>
  </sheets>
  <functionGroups builtInGroupCount="19"/>
  <definedNames>
    <definedName name="m">Main!$G$2</definedName>
    <definedName name="_xlnm.Print_Area" localSheetId="1">CompEllInt!$A$1:$S$65</definedName>
    <definedName name="_xlnm.Print_Area" localSheetId="0">Main!$A$1:$S$41</definedName>
    <definedName name="_xlnm.Print_Area" localSheetId="2">'Near M=1'!$A$1:$M$32</definedName>
    <definedName name="xM">Main!$E$2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3" l="1"/>
  <c r="J2" i="1"/>
  <c r="C3" i="3"/>
  <c r="C4" i="3"/>
  <c r="B5" i="3" l="1"/>
  <c r="B5" i="1"/>
  <c r="C5" i="1"/>
  <c r="E5" i="1"/>
  <c r="D5" i="1"/>
  <c r="B6" i="1" l="1"/>
  <c r="B6" i="3"/>
  <c r="C6" i="1"/>
  <c r="D6" i="1"/>
  <c r="E6" i="1"/>
  <c r="B7" i="1" l="1"/>
  <c r="B7" i="3"/>
  <c r="C7" i="1"/>
  <c r="D7" i="1"/>
  <c r="E7" i="1"/>
  <c r="B8" i="1" l="1"/>
  <c r="B8" i="3"/>
  <c r="K5" i="1" l="1"/>
  <c r="B9" i="1"/>
  <c r="B9" i="3"/>
  <c r="D236" i="2"/>
  <c r="D574" i="2"/>
  <c r="D204" i="2"/>
  <c r="D672" i="2"/>
  <c r="D329" i="2"/>
  <c r="D909" i="2"/>
  <c r="D930" i="2"/>
  <c r="D452" i="2"/>
  <c r="D49" i="2"/>
  <c r="D523" i="2"/>
  <c r="D982" i="2"/>
  <c r="D97" i="2"/>
  <c r="D769" i="2"/>
  <c r="D759" i="2"/>
  <c r="D993" i="2"/>
  <c r="D516" i="2"/>
  <c r="D424" i="2"/>
  <c r="D420" i="2"/>
  <c r="D571" i="2"/>
  <c r="D141" i="2"/>
  <c r="D619" i="2"/>
  <c r="D719" i="2"/>
  <c r="D406" i="2"/>
  <c r="D933" i="2"/>
  <c r="D807" i="2"/>
  <c r="D717" i="2"/>
  <c r="D760" i="2"/>
  <c r="C8" i="1"/>
  <c r="D907" i="2"/>
  <c r="D947" i="2"/>
  <c r="D365" i="2"/>
  <c r="D605" i="2"/>
  <c r="D725" i="2"/>
  <c r="D905" i="2"/>
  <c r="D694" i="2"/>
  <c r="D346" i="2"/>
  <c r="D876" i="2"/>
  <c r="D796" i="2"/>
  <c r="D387" i="2"/>
  <c r="D949" i="2"/>
  <c r="D923" i="2"/>
  <c r="D476" i="2"/>
  <c r="D50" i="2"/>
  <c r="D48" i="2"/>
  <c r="D844" i="2"/>
  <c r="D320" i="2"/>
  <c r="D985" i="2"/>
  <c r="D739" i="2"/>
  <c r="D786" i="2"/>
  <c r="D714" i="2"/>
  <c r="D867" i="2"/>
  <c r="D677" i="2"/>
  <c r="D21" i="2"/>
  <c r="D976" i="2"/>
  <c r="D632" i="2"/>
  <c r="D457" i="2"/>
  <c r="D597" i="2"/>
  <c r="D622" i="2"/>
  <c r="D30" i="2"/>
  <c r="D492" i="2"/>
  <c r="D515" i="2"/>
  <c r="D280" i="2"/>
  <c r="D350" i="2"/>
  <c r="D373" i="2"/>
  <c r="D964" i="2"/>
  <c r="D446" i="2"/>
  <c r="D908" i="2"/>
  <c r="D685" i="2"/>
  <c r="D1001" i="2"/>
  <c r="D318" i="2"/>
  <c r="D853" i="2"/>
  <c r="D800" i="2"/>
  <c r="D744" i="2"/>
  <c r="D69" i="2"/>
  <c r="D111" i="2"/>
  <c r="D604" i="2"/>
  <c r="D99" i="2"/>
  <c r="E8" i="1"/>
  <c r="D86" i="2"/>
  <c r="D643" i="2"/>
  <c r="D245" i="2"/>
  <c r="D343" i="2"/>
  <c r="D171" i="2"/>
  <c r="D166" i="2"/>
  <c r="D879" i="2"/>
  <c r="D419" i="2"/>
  <c r="D16" i="2"/>
  <c r="D294" i="2"/>
  <c r="D973" i="2"/>
  <c r="D994" i="2"/>
  <c r="D961" i="2"/>
  <c r="D878" i="2"/>
  <c r="D831" i="2"/>
  <c r="D125" i="2"/>
  <c r="D839" i="2"/>
  <c r="D468" i="2"/>
  <c r="D829" i="2"/>
  <c r="D740" i="2"/>
  <c r="D996" i="2"/>
  <c r="D938" i="2"/>
  <c r="D916" i="2"/>
  <c r="D60" i="2"/>
  <c r="D859" i="2"/>
  <c r="D313" i="2"/>
  <c r="D733" i="2"/>
  <c r="D41" i="2"/>
  <c r="D466" i="2"/>
  <c r="D564" i="2"/>
  <c r="D897" i="2"/>
  <c r="D648" i="2"/>
  <c r="D623" i="2"/>
  <c r="D736" i="2"/>
  <c r="D627" i="2"/>
  <c r="D584" i="2"/>
  <c r="D873" i="2"/>
  <c r="D512" i="2"/>
  <c r="D997" i="2"/>
  <c r="D945" i="2"/>
  <c r="D37" i="2"/>
  <c r="D801" i="2"/>
  <c r="D616" i="2"/>
  <c r="D149" i="2"/>
  <c r="D748" i="2"/>
  <c r="D230" i="2"/>
  <c r="D645" i="2"/>
  <c r="D651" i="2"/>
  <c r="D372" i="2"/>
  <c r="D377" i="2"/>
  <c r="D695" i="2"/>
  <c r="D568" i="2"/>
  <c r="D981" i="2"/>
  <c r="D598" i="2"/>
  <c r="D913" i="2"/>
  <c r="D914" i="2"/>
  <c r="D734" i="2"/>
  <c r="D449" i="2"/>
  <c r="D541" i="2"/>
  <c r="D324" i="2"/>
  <c r="D26" i="2"/>
  <c r="D432" i="2"/>
  <c r="D537" i="2"/>
  <c r="D42" i="2"/>
  <c r="D803" i="2"/>
  <c r="D31" i="2"/>
  <c r="D185" i="2"/>
  <c r="D314" i="2"/>
  <c r="D374" i="2"/>
  <c r="D277" i="2"/>
  <c r="D969" i="2"/>
  <c r="D101" i="2"/>
  <c r="D369" i="2"/>
  <c r="D658" i="2"/>
  <c r="D494" i="2"/>
  <c r="D723" i="2"/>
  <c r="D816" i="2"/>
  <c r="D534" i="2"/>
  <c r="D110" i="2"/>
  <c r="D552" i="2"/>
  <c r="D827" i="2"/>
  <c r="D698" i="2"/>
  <c r="D655" i="2"/>
  <c r="D572" i="2"/>
  <c r="D863" i="2"/>
  <c r="D753" i="2"/>
  <c r="D367" i="2"/>
  <c r="D836" i="2"/>
  <c r="D485" i="2"/>
  <c r="D549" i="2"/>
  <c r="D258" i="2"/>
  <c r="D116" i="2"/>
  <c r="D268" i="2"/>
  <c r="D802" i="2"/>
  <c r="D412" i="2"/>
  <c r="D813" i="2"/>
  <c r="D1002" i="2"/>
  <c r="D34" i="2"/>
  <c r="D183" i="2"/>
  <c r="D553" i="2"/>
  <c r="D130" i="2"/>
  <c r="D416" i="2"/>
  <c r="D970" i="2"/>
  <c r="D451" i="2"/>
  <c r="D661" i="2"/>
  <c r="D797" i="2"/>
  <c r="D117" i="2"/>
  <c r="D513" i="2"/>
  <c r="D352" i="2"/>
  <c r="D168" i="2"/>
  <c r="D269" i="2"/>
  <c r="D788" i="2"/>
  <c r="D488" i="2"/>
  <c r="D644" i="2"/>
  <c r="D271" i="2"/>
  <c r="D400" i="2"/>
  <c r="D615" i="2"/>
  <c r="D910" i="2"/>
  <c r="D745" i="2"/>
  <c r="D591" i="2"/>
  <c r="D972" i="2"/>
  <c r="D155" i="2"/>
  <c r="D224" i="2"/>
  <c r="D524" i="2"/>
  <c r="D257" i="2"/>
  <c r="D405" i="2"/>
  <c r="D704" i="2"/>
  <c r="D123" i="2"/>
  <c r="D955" i="2"/>
  <c r="D890" i="2"/>
  <c r="D875" i="2"/>
  <c r="D773" i="2"/>
  <c r="D17" i="2"/>
  <c r="D687" i="2"/>
  <c r="D384" i="2"/>
  <c r="D399" i="2"/>
  <c r="D693" i="2"/>
  <c r="D855" i="2"/>
  <c r="D998" i="2"/>
  <c r="D118" i="2"/>
  <c r="D150" i="2"/>
  <c r="D757" i="2"/>
  <c r="D182" i="2"/>
  <c r="D630" i="2"/>
  <c r="D585" i="2"/>
  <c r="D189" i="2"/>
  <c r="D697" i="2"/>
  <c r="D868" i="2"/>
  <c r="D662" i="2"/>
  <c r="D809" i="2"/>
  <c r="D638" i="2"/>
  <c r="D62" i="2"/>
  <c r="D483" i="2"/>
  <c r="D448" i="2"/>
  <c r="D23" i="2"/>
  <c r="D692" i="2"/>
  <c r="D144" i="2"/>
  <c r="D154" i="2"/>
  <c r="D337" i="2"/>
  <c r="D707" i="2"/>
  <c r="D220" i="2"/>
  <c r="D78" i="2"/>
  <c r="D521" i="2"/>
  <c r="D490" i="2"/>
  <c r="D887" i="2"/>
  <c r="D84" i="2"/>
  <c r="D804" i="2"/>
  <c r="D266" i="2"/>
  <c r="D943" i="2"/>
  <c r="D522" i="2"/>
  <c r="D711" i="2"/>
  <c r="D139" i="2"/>
  <c r="D307" i="2"/>
  <c r="D756" i="2"/>
  <c r="D893" i="2"/>
  <c r="D791" i="2"/>
  <c r="D499" i="2"/>
  <c r="D956" i="2"/>
  <c r="D932" i="2"/>
  <c r="D480" i="2"/>
  <c r="D681" i="2"/>
  <c r="D835" i="2"/>
  <c r="D834" i="2"/>
  <c r="D136" i="2"/>
  <c r="D433" i="2"/>
  <c r="D885" i="2"/>
  <c r="D36" i="2"/>
  <c r="D710" i="2"/>
  <c r="D39" i="2"/>
  <c r="D789" i="2"/>
  <c r="D957" i="2"/>
  <c r="D75" i="2"/>
  <c r="D356" i="2"/>
  <c r="D539" i="2"/>
  <c r="D344" i="2"/>
  <c r="D674" i="2"/>
  <c r="D498" i="2"/>
  <c r="D752" i="2"/>
  <c r="D178" i="2"/>
  <c r="D321" i="2"/>
  <c r="D71" i="2"/>
  <c r="D148" i="2"/>
  <c r="D929" i="2"/>
  <c r="D192" i="2"/>
  <c r="D765" i="2"/>
  <c r="D89" i="2"/>
  <c r="D444" i="2"/>
  <c r="D366" i="2"/>
  <c r="D450" i="2"/>
  <c r="D974" i="2"/>
  <c r="D100" i="2"/>
  <c r="D731" i="2"/>
  <c r="D810" i="2"/>
  <c r="D281" i="2"/>
  <c r="D822" i="2"/>
  <c r="D741" i="2"/>
  <c r="D305" i="2"/>
  <c r="D837" i="2"/>
  <c r="D948" i="2"/>
  <c r="D253" i="2"/>
  <c r="D862" i="2"/>
  <c r="D642" i="2"/>
  <c r="D646" i="2"/>
  <c r="D980" i="2"/>
  <c r="D746" i="2"/>
  <c r="D730" i="2"/>
  <c r="D218" i="2"/>
  <c r="D442" i="2"/>
  <c r="D472" i="2"/>
  <c r="D107" i="2"/>
  <c r="D783" i="2"/>
  <c r="D502" i="2"/>
  <c r="D256" i="2"/>
  <c r="D637" i="2"/>
  <c r="D917" i="2"/>
  <c r="D895" i="2"/>
  <c r="D349" i="2"/>
  <c r="D208" i="2"/>
  <c r="D12" i="2"/>
  <c r="D330" i="2"/>
  <c r="D435" i="2"/>
  <c r="D390" i="2"/>
  <c r="D147" i="2"/>
  <c r="D354" i="2"/>
  <c r="D95" i="2"/>
  <c r="D940" i="2"/>
  <c r="D469" i="2"/>
  <c r="D507" i="2"/>
  <c r="D608" i="2"/>
  <c r="D888" i="2"/>
  <c r="D840" i="2"/>
  <c r="D109" i="2"/>
  <c r="D673" i="2"/>
  <c r="D368" i="2"/>
  <c r="D941" i="2"/>
  <c r="D690" i="2"/>
  <c r="D94" i="2"/>
  <c r="D187" i="2"/>
  <c r="D325" i="2"/>
  <c r="D647" i="2"/>
  <c r="D338" i="2"/>
  <c r="D869" i="2"/>
  <c r="D882" i="2"/>
  <c r="D702" i="2"/>
  <c r="D481" i="2"/>
  <c r="D935" i="2"/>
  <c r="D764" i="2"/>
  <c r="D936" i="2"/>
  <c r="D158" i="2"/>
  <c r="D159" i="2"/>
  <c r="D267" i="2"/>
  <c r="D239" i="2"/>
  <c r="D460" i="2"/>
  <c r="D254" i="2"/>
  <c r="D58" i="2"/>
  <c r="D156" i="2"/>
  <c r="D567" i="2"/>
  <c r="D298" i="2"/>
  <c r="D259" i="2"/>
  <c r="D246" i="2"/>
  <c r="D743" i="2"/>
  <c r="D915" i="2"/>
  <c r="D527" i="2"/>
  <c r="D397" i="2"/>
  <c r="D44" i="2"/>
  <c r="D606" i="2"/>
  <c r="D545" i="2"/>
  <c r="D866" i="2"/>
  <c r="D395" i="2"/>
  <c r="D958" i="2"/>
  <c r="D612" i="2"/>
  <c r="D311" i="2"/>
  <c r="D96" i="2"/>
  <c r="D808" i="2"/>
  <c r="D691" i="2"/>
  <c r="D763" i="2"/>
  <c r="D550" i="2"/>
  <c r="D175" i="2"/>
  <c r="D617" i="2"/>
  <c r="D152" i="2"/>
  <c r="D287" i="2"/>
  <c r="D587" i="2"/>
  <c r="D342" i="2"/>
  <c r="D509" i="2"/>
  <c r="D362" i="2"/>
  <c r="D722" i="2"/>
  <c r="D818" i="2"/>
  <c r="D121" i="2"/>
  <c r="D872" i="2"/>
  <c r="D463" i="2"/>
  <c r="D391" i="2"/>
  <c r="D293" i="2"/>
  <c r="D428" i="2"/>
  <c r="D686" i="2"/>
  <c r="D600" i="2"/>
  <c r="D291" i="2"/>
  <c r="D297" i="2"/>
  <c r="D657" i="2"/>
  <c r="D357" i="2"/>
  <c r="D493" i="2"/>
  <c r="D455" i="2"/>
  <c r="D962" i="2"/>
  <c r="D544" i="2"/>
  <c r="D132" i="2"/>
  <c r="C8" i="3"/>
  <c r="D931" i="2"/>
  <c r="D238" i="2"/>
  <c r="D231" i="2"/>
  <c r="D912" i="2"/>
  <c r="D716" i="2"/>
  <c r="D870" i="2"/>
  <c r="D977" i="2"/>
  <c r="D919" i="2"/>
  <c r="D479" i="2"/>
  <c r="D705" i="2"/>
  <c r="D263" i="2"/>
  <c r="D184" i="2"/>
  <c r="D411" i="2"/>
  <c r="D609" i="2"/>
  <c r="D477" i="2"/>
  <c r="D262" i="2"/>
  <c r="D73" i="2"/>
  <c r="D198" i="2"/>
  <c r="D830" i="2"/>
  <c r="D223" i="2"/>
  <c r="D202" i="2"/>
  <c r="D358" i="2"/>
  <c r="D762" i="2"/>
  <c r="D64" i="2"/>
  <c r="D566" i="2"/>
  <c r="D32" i="2"/>
  <c r="D431" i="2"/>
  <c r="D216" i="2"/>
  <c r="D188" i="2"/>
  <c r="D437" i="2"/>
  <c r="D777" i="2"/>
  <c r="D413" i="2"/>
  <c r="D899" i="2"/>
  <c r="D989" i="2"/>
  <c r="D90" i="2"/>
  <c r="D678" i="2"/>
  <c r="D327" i="2"/>
  <c r="D954" i="2"/>
  <c r="D649" i="2"/>
  <c r="D712" i="2"/>
  <c r="D9" i="2"/>
  <c r="D285" i="2"/>
  <c r="D143" i="2"/>
  <c r="D650" i="2"/>
  <c r="D375" i="2"/>
  <c r="D212" i="2"/>
  <c r="D229" i="2"/>
  <c r="D370" i="2"/>
  <c r="D847" i="2"/>
  <c r="D951" i="2"/>
  <c r="D260" i="2"/>
  <c r="D415" i="2"/>
  <c r="D217" i="2"/>
  <c r="D421" i="2"/>
  <c r="D79" i="2"/>
  <c r="D531" i="2"/>
  <c r="D785" i="2"/>
  <c r="D514" i="2"/>
  <c r="D401" i="2"/>
  <c r="D242" i="2"/>
  <c r="D898" i="2"/>
  <c r="D590" i="2"/>
  <c r="D334" i="2"/>
  <c r="D378" i="2"/>
  <c r="D795" i="2"/>
  <c r="D276" i="2"/>
  <c r="D963" i="2"/>
  <c r="D824" i="2"/>
  <c r="D779" i="2"/>
  <c r="D205" i="2"/>
  <c r="D833" i="2"/>
  <c r="D761" i="2"/>
  <c r="D501" i="2"/>
  <c r="D57" i="2"/>
  <c r="D607" i="2"/>
  <c r="D953" i="2"/>
  <c r="D960" i="2"/>
  <c r="D699" i="2"/>
  <c r="D273" i="2"/>
  <c r="D54" i="2"/>
  <c r="D347" i="2"/>
  <c r="D664" i="2"/>
  <c r="D805" i="2"/>
  <c r="D316" i="2"/>
  <c r="D288" i="2"/>
  <c r="D328" i="2"/>
  <c r="D333" i="2"/>
  <c r="D984" i="2"/>
  <c r="D558" i="2"/>
  <c r="D720" i="2"/>
  <c r="D906" i="2"/>
  <c r="D301" i="2"/>
  <c r="D279" i="2"/>
  <c r="D251" i="2"/>
  <c r="D871" i="2"/>
  <c r="D518" i="2"/>
  <c r="D751" i="2"/>
  <c r="D772" i="2"/>
  <c r="D436" i="2"/>
  <c r="D225" i="2"/>
  <c r="D618" i="2"/>
  <c r="D724" i="2"/>
  <c r="D112" i="2"/>
  <c r="D592" i="2"/>
  <c r="D234" i="2"/>
  <c r="D417" i="2"/>
  <c r="D244" i="2"/>
  <c r="D924" i="2"/>
  <c r="D249" i="2"/>
  <c r="D443" i="2"/>
  <c r="D968" i="2"/>
  <c r="D904" i="2"/>
  <c r="D135" i="2"/>
  <c r="D850" i="2"/>
  <c r="D922" i="2"/>
  <c r="D33" i="2"/>
  <c r="D573" i="2"/>
  <c r="D841" i="2"/>
  <c r="D169" i="2"/>
  <c r="D382" i="2"/>
  <c r="D219" i="2"/>
  <c r="D430" i="2"/>
  <c r="D966" i="2"/>
  <c r="D165" i="2"/>
  <c r="D361" i="2"/>
  <c r="D310" i="2"/>
  <c r="D726" i="2"/>
  <c r="D164" i="2"/>
  <c r="D799" i="2"/>
  <c r="D404" i="2"/>
  <c r="D987" i="2"/>
  <c r="D248" i="2"/>
  <c r="D40" i="2"/>
  <c r="D221" i="2"/>
  <c r="D635" i="2"/>
  <c r="D484" i="2"/>
  <c r="D270" i="2"/>
  <c r="D560" i="2"/>
  <c r="D921" i="2"/>
  <c r="D965" i="2"/>
  <c r="D7" i="2"/>
  <c r="D851" i="2"/>
  <c r="D306" i="2"/>
  <c r="C5" i="3"/>
  <c r="D28" i="2"/>
  <c r="D18" i="2"/>
  <c r="D74" i="2"/>
  <c r="D286" i="2"/>
  <c r="D474" i="2"/>
  <c r="D489" i="2"/>
  <c r="D138" i="2"/>
  <c r="D819" i="2"/>
  <c r="D652" i="2"/>
  <c r="D63" i="2"/>
  <c r="D554" i="2"/>
  <c r="D988" i="2"/>
  <c r="D575" i="2"/>
  <c r="D119" i="2"/>
  <c r="D653" i="2"/>
  <c r="D603" i="2"/>
  <c r="D621" i="2"/>
  <c r="D586" i="2"/>
  <c r="D67" i="2"/>
  <c r="D83" i="2"/>
  <c r="D620" i="2"/>
  <c r="D407" i="2"/>
  <c r="D53" i="2"/>
  <c r="D19" i="2"/>
  <c r="D38" i="2"/>
  <c r="D282" i="2"/>
  <c r="D215" i="2"/>
  <c r="D403" i="2"/>
  <c r="D1003" i="2"/>
  <c r="D10" i="2"/>
  <c r="D654" i="2"/>
  <c r="D142" i="2"/>
  <c r="D471" i="2"/>
  <c r="D927" i="2"/>
  <c r="D174" i="2"/>
  <c r="D639" i="2"/>
  <c r="D886" i="2"/>
  <c r="D903" i="2"/>
  <c r="D682" i="2"/>
  <c r="D197" i="2"/>
  <c r="D793" i="2"/>
  <c r="D486" i="2"/>
  <c r="D108" i="2"/>
  <c r="D663" i="2"/>
  <c r="D241" i="2"/>
  <c r="D814" i="2"/>
  <c r="D376" i="2"/>
  <c r="D774" i="2"/>
  <c r="D992" i="2"/>
  <c r="D487" i="2"/>
  <c r="D423" i="2"/>
  <c r="D261" i="2"/>
  <c r="D715" i="2"/>
  <c r="D396" i="2"/>
  <c r="D211" i="2"/>
  <c r="D854" i="2"/>
  <c r="D447" i="2"/>
  <c r="D832" i="2"/>
  <c r="D274" i="2"/>
  <c r="D633" i="2"/>
  <c r="D601" i="2"/>
  <c r="D610" i="2"/>
  <c r="D213" i="2"/>
  <c r="D82" i="2"/>
  <c r="D504" i="2"/>
  <c r="D340" i="2"/>
  <c r="D385" i="2"/>
  <c r="D196" i="2"/>
  <c r="D128" i="2"/>
  <c r="D46" i="2"/>
  <c r="D381" i="2"/>
  <c r="D106" i="2"/>
  <c r="D351" i="2"/>
  <c r="D928" i="2"/>
  <c r="D852" i="2"/>
  <c r="D889" i="2"/>
  <c r="D473" i="2"/>
  <c r="D503" i="2"/>
  <c r="D530" i="2"/>
  <c r="D520" i="2"/>
  <c r="D114" i="2"/>
  <c r="D709" i="2"/>
  <c r="D250" i="2"/>
  <c r="D845" i="2"/>
  <c r="D120" i="2"/>
  <c r="D383" i="2"/>
  <c r="D589" i="2"/>
  <c r="D771" i="2"/>
  <c r="D76" i="2"/>
  <c r="D226" i="2"/>
  <c r="D299" i="2"/>
  <c r="D427" i="2"/>
  <c r="D167" i="2"/>
  <c r="D755" i="2"/>
  <c r="D942" i="2"/>
  <c r="D331" i="2"/>
  <c r="D27" i="2"/>
  <c r="D894" i="2"/>
  <c r="D794" i="2"/>
  <c r="D849" i="2"/>
  <c r="D482" i="2"/>
  <c r="D983" i="2"/>
  <c r="D496" i="2"/>
  <c r="D667" i="2"/>
  <c r="D173" i="2"/>
  <c r="D233" i="2"/>
  <c r="D576" i="2"/>
  <c r="D659" i="2"/>
  <c r="D209" i="2"/>
  <c r="D877" i="2"/>
  <c r="D8" i="1"/>
  <c r="D551" i="2"/>
  <c r="D137" i="2"/>
  <c r="D660" i="2"/>
  <c r="D203" i="2"/>
  <c r="D684" i="2"/>
  <c r="D881" i="2"/>
  <c r="D926" i="2"/>
  <c r="D14" i="2"/>
  <c r="D43" i="2"/>
  <c r="D995" i="2"/>
  <c r="D379" i="2"/>
  <c r="D727" i="2"/>
  <c r="D525" i="2"/>
  <c r="D353" i="2"/>
  <c r="D290" i="2"/>
  <c r="D823" i="2"/>
  <c r="D860" i="2"/>
  <c r="D445" i="2"/>
  <c r="D300" i="2"/>
  <c r="D718" i="2"/>
  <c r="D103" i="2"/>
  <c r="D758" i="2"/>
  <c r="D892" i="2"/>
  <c r="D500" i="2"/>
  <c r="D535" i="2"/>
  <c r="D29" i="2"/>
  <c r="D679" i="2"/>
  <c r="D355" i="2"/>
  <c r="C6" i="3"/>
  <c r="D478" i="2"/>
  <c r="D579" i="2"/>
  <c r="D874" i="2"/>
  <c r="D151" i="2"/>
  <c r="D51" i="2"/>
  <c r="D596" i="2"/>
  <c r="D510" i="2"/>
  <c r="D613" i="2"/>
  <c r="D127" i="2"/>
  <c r="D842" i="2"/>
  <c r="D402" i="2"/>
  <c r="D177" i="2"/>
  <c r="D87" i="2"/>
  <c r="D181" i="2"/>
  <c r="D950" i="2"/>
  <c r="D990" i="2"/>
  <c r="D669" i="2"/>
  <c r="D386" i="2"/>
  <c r="D971" i="2"/>
  <c r="D134" i="2"/>
  <c r="D536" i="2"/>
  <c r="D817" i="2"/>
  <c r="D194" i="2"/>
  <c r="D296" i="2"/>
  <c r="D434" i="2"/>
  <c r="D252" i="2"/>
  <c r="D934" i="2"/>
  <c r="D526" i="2"/>
  <c r="D47" i="2"/>
  <c r="D210" i="2"/>
  <c r="D511" i="2"/>
  <c r="D170" i="2"/>
  <c r="D708" i="2"/>
  <c r="D497" i="2"/>
  <c r="D122" i="2"/>
  <c r="D207" i="2"/>
  <c r="D506" i="2"/>
  <c r="D72" i="2"/>
  <c r="D161" i="2"/>
  <c r="D582" i="2"/>
  <c r="D102" i="2"/>
  <c r="D453" i="2"/>
  <c r="D70" i="2"/>
  <c r="D335" i="2"/>
  <c r="D456" i="2"/>
  <c r="D944" i="2"/>
  <c r="D595" i="2"/>
  <c r="D418" i="2"/>
  <c r="D364" i="2"/>
  <c r="D749" i="2"/>
  <c r="D798" i="2"/>
  <c r="D737" i="2"/>
  <c r="D304" i="2"/>
  <c r="D5" i="2"/>
  <c r="D735" i="2"/>
  <c r="D458" i="2"/>
  <c r="D732" i="2"/>
  <c r="D611" i="2"/>
  <c r="D461" i="2"/>
  <c r="D628" i="2"/>
  <c r="D843" i="2"/>
  <c r="D394" i="2"/>
  <c r="D363" i="2"/>
  <c r="D952" i="2"/>
  <c r="D858" i="2"/>
  <c r="D91" i="2"/>
  <c r="D163" i="2"/>
  <c r="D176" i="2"/>
  <c r="D738" i="2"/>
  <c r="D754" i="2"/>
  <c r="D978" i="2"/>
  <c r="D393" i="2"/>
  <c r="D543" i="2"/>
  <c r="D703" i="2"/>
  <c r="D599" i="2"/>
  <c r="D131" i="2"/>
  <c r="D408" i="2"/>
  <c r="D812" i="2"/>
  <c r="D332" i="2"/>
  <c r="D641" i="2"/>
  <c r="D776" i="2"/>
  <c r="D519" i="2"/>
  <c r="D24" i="2"/>
  <c r="D848" i="2"/>
  <c r="D680" i="2"/>
  <c r="D422" i="2"/>
  <c r="D454" i="2"/>
  <c r="D856" i="2"/>
  <c r="D113" i="2"/>
  <c r="D569" i="2"/>
  <c r="D559" i="2"/>
  <c r="D636" i="2"/>
  <c r="D570" i="2"/>
  <c r="D728" i="2"/>
  <c r="D713" i="2"/>
  <c r="D629" i="2"/>
  <c r="D614" i="2"/>
  <c r="D602" i="2"/>
  <c r="D341" i="2"/>
  <c r="D92" i="2"/>
  <c r="D1000" i="2"/>
  <c r="D264" i="2"/>
  <c r="D360" i="2"/>
  <c r="D529" i="2"/>
  <c r="D784" i="2"/>
  <c r="D440" i="2"/>
  <c r="D750" i="2"/>
  <c r="D495" i="2"/>
  <c r="D284" i="2"/>
  <c r="D193" i="2"/>
  <c r="D98" i="2"/>
  <c r="D766" i="2"/>
  <c r="D467" i="2"/>
  <c r="D979" i="2"/>
  <c r="D214" i="2"/>
  <c r="D517" i="2"/>
  <c r="D825" i="2"/>
  <c r="D265" i="2"/>
  <c r="D88" i="2"/>
  <c r="D326" i="2"/>
  <c r="D115" i="2"/>
  <c r="D104" i="2"/>
  <c r="D821" i="2"/>
  <c r="D319" i="2"/>
  <c r="D670" i="2"/>
  <c r="D199" i="2"/>
  <c r="D45" i="2"/>
  <c r="D105" i="2"/>
  <c r="D315" i="2"/>
  <c r="D846" i="2"/>
  <c r="D191" i="2"/>
  <c r="D359" i="2"/>
  <c r="D634" i="2"/>
  <c r="D666" i="2"/>
  <c r="D339" i="2"/>
  <c r="D563" i="2"/>
  <c r="D838" i="2"/>
  <c r="D883" i="2"/>
  <c r="D278" i="2"/>
  <c r="D865" i="2"/>
  <c r="D186" i="2"/>
  <c r="D884" i="2"/>
  <c r="D56" i="2"/>
  <c r="D782" i="2"/>
  <c r="D505" i="2"/>
  <c r="D781" i="2"/>
  <c r="D640" i="2"/>
  <c r="D999" i="2"/>
  <c r="D146" i="2"/>
  <c r="D77" i="2"/>
  <c r="D896" i="2"/>
  <c r="D410" i="2"/>
  <c r="D93" i="2"/>
  <c r="D594" i="2"/>
  <c r="D1004" i="2"/>
  <c r="D624" i="2"/>
  <c r="D388" i="2"/>
  <c r="D295" i="2"/>
  <c r="D426" i="2"/>
  <c r="D581" i="2"/>
  <c r="D668" i="2"/>
  <c r="D52" i="2"/>
  <c r="D129" i="2"/>
  <c r="D787" i="2"/>
  <c r="D925" i="2"/>
  <c r="D701" i="2"/>
  <c r="D548" i="2"/>
  <c r="D946" i="2"/>
  <c r="D880" i="2"/>
  <c r="D475" i="2"/>
  <c r="D747" i="2"/>
  <c r="D145" i="2"/>
  <c r="D409" i="2"/>
  <c r="D532" i="2"/>
  <c r="D580" i="2"/>
  <c r="D820" i="2"/>
  <c r="D153" i="2"/>
  <c r="D292" i="2"/>
  <c r="D721" i="2"/>
  <c r="D593" i="2"/>
  <c r="D232" i="2"/>
  <c r="D792" i="2"/>
  <c r="D157" i="2"/>
  <c r="D20" i="2"/>
  <c r="D556" i="2"/>
  <c r="D425" i="2"/>
  <c r="D179" i="2"/>
  <c r="D828" i="2"/>
  <c r="D676" i="2"/>
  <c r="D542" i="2"/>
  <c r="D565" i="2"/>
  <c r="D901" i="2"/>
  <c r="D491" i="2"/>
  <c r="D780" i="2"/>
  <c r="D920" i="2"/>
  <c r="D631" i="2"/>
  <c r="D240" i="2"/>
  <c r="D322" i="2"/>
  <c r="D625" i="2"/>
  <c r="D380" i="2"/>
  <c r="D815" i="2"/>
  <c r="D59" i="2"/>
  <c r="D547" i="2"/>
  <c r="D767" i="2"/>
  <c r="D806" i="2"/>
  <c r="D140" i="2"/>
  <c r="D975" i="2"/>
  <c r="D439" i="2"/>
  <c r="D235" i="2"/>
  <c r="D768" i="2"/>
  <c r="D671" i="2"/>
  <c r="D775" i="2"/>
  <c r="D665" i="2"/>
  <c r="D398" i="2"/>
  <c r="D826" i="2"/>
  <c r="D336" i="2"/>
  <c r="D626" i="2"/>
  <c r="D706" i="2"/>
  <c r="D561" i="2"/>
  <c r="D790" i="2"/>
  <c r="D308" i="2"/>
  <c r="D201" i="2"/>
  <c r="D462" i="2"/>
  <c r="D345" i="2"/>
  <c r="D124" i="2"/>
  <c r="D729" i="2"/>
  <c r="D508" i="2"/>
  <c r="D255" i="2"/>
  <c r="D588" i="2"/>
  <c r="D861" i="2"/>
  <c r="D371" i="2"/>
  <c r="D465" i="2"/>
  <c r="D700" i="2"/>
  <c r="D429" i="2"/>
  <c r="D811" i="2"/>
  <c r="D25" i="2"/>
  <c r="D578" i="2"/>
  <c r="D464" i="2"/>
  <c r="D864" i="2"/>
  <c r="D778" i="2"/>
  <c r="D66" i="2"/>
  <c r="D688" i="2"/>
  <c r="D85" i="2"/>
  <c r="D414" i="2"/>
  <c r="D562" i="2"/>
  <c r="D392" i="2"/>
  <c r="D309" i="2"/>
  <c r="D289" i="2"/>
  <c r="D8" i="2"/>
  <c r="D13" i="2"/>
  <c r="D303" i="2"/>
  <c r="D247" i="2"/>
  <c r="D986" i="2"/>
  <c r="D55" i="2"/>
  <c r="D180" i="2"/>
  <c r="D275" i="2"/>
  <c r="D312" i="2"/>
  <c r="D61" i="2"/>
  <c r="D126" i="2"/>
  <c r="D959" i="2"/>
  <c r="D6" i="2"/>
  <c r="D195" i="2"/>
  <c r="D689" i="2"/>
  <c r="D15" i="2"/>
  <c r="D22" i="2"/>
  <c r="D900" i="2"/>
  <c r="D656" i="2"/>
  <c r="D683" i="2"/>
  <c r="D533" i="2"/>
  <c r="D557" i="2"/>
  <c r="D555" i="2"/>
  <c r="D323" i="2"/>
  <c r="D857" i="2"/>
  <c r="D546" i="2"/>
  <c r="D35" i="2"/>
  <c r="D770" i="2"/>
  <c r="D459" i="2"/>
  <c r="D441" i="2"/>
  <c r="D200" i="2"/>
  <c r="D237" i="2"/>
  <c r="D528" i="2"/>
  <c r="D918" i="2"/>
  <c r="D162" i="2"/>
  <c r="D937" i="2"/>
  <c r="D11" i="2"/>
  <c r="D206" i="2"/>
  <c r="D696" i="2"/>
  <c r="D68" i="2"/>
  <c r="D540" i="2"/>
  <c r="D317" i="2"/>
  <c r="D911" i="2"/>
  <c r="D227" i="2"/>
  <c r="D583" i="2"/>
  <c r="D470" i="2"/>
  <c r="D675" i="2"/>
  <c r="D891" i="2"/>
  <c r="D222" i="2"/>
  <c r="D991" i="2"/>
  <c r="C7" i="3"/>
  <c r="D81" i="2"/>
  <c r="D228" i="2"/>
  <c r="D348" i="2"/>
  <c r="D133" i="2"/>
  <c r="D967" i="2"/>
  <c r="D902" i="2"/>
  <c r="D742" i="2"/>
  <c r="D190" i="2"/>
  <c r="D172" i="2"/>
  <c r="D272" i="2"/>
  <c r="D65" i="2"/>
  <c r="D538" i="2"/>
  <c r="D302" i="2"/>
  <c r="D389" i="2"/>
  <c r="D80" i="2"/>
  <c r="D283" i="2"/>
  <c r="D577" i="2"/>
  <c r="D160" i="2"/>
  <c r="D243" i="2"/>
  <c r="D438" i="2"/>
  <c r="D939" i="2"/>
  <c r="C9" i="3"/>
  <c r="C9" i="1"/>
  <c r="D9" i="1"/>
  <c r="E9" i="1"/>
  <c r="N2" i="1"/>
  <c r="E939" i="2" l="1"/>
  <c r="F939" i="2"/>
  <c r="E438" i="2"/>
  <c r="F438" i="2"/>
  <c r="F243" i="2"/>
  <c r="E243" i="2"/>
  <c r="E160" i="2"/>
  <c r="F160" i="2"/>
  <c r="F577" i="2"/>
  <c r="E577" i="2"/>
  <c r="F283" i="2"/>
  <c r="E283" i="2"/>
  <c r="F80" i="2"/>
  <c r="E80" i="2"/>
  <c r="F389" i="2"/>
  <c r="E389" i="2"/>
  <c r="F302" i="2"/>
  <c r="E302" i="2"/>
  <c r="E538" i="2"/>
  <c r="F538" i="2"/>
  <c r="E65" i="2"/>
  <c r="F65" i="2"/>
  <c r="E272" i="2"/>
  <c r="F272" i="2"/>
  <c r="F172" i="2"/>
  <c r="E172" i="2"/>
  <c r="F190" i="2"/>
  <c r="E190" i="2"/>
  <c r="F742" i="2"/>
  <c r="E742" i="2"/>
  <c r="E902" i="2"/>
  <c r="F902" i="2"/>
  <c r="F967" i="2"/>
  <c r="E967" i="2"/>
  <c r="E133" i="2"/>
  <c r="F133" i="2"/>
  <c r="E348" i="2"/>
  <c r="F348" i="2"/>
  <c r="F228" i="2"/>
  <c r="E228" i="2"/>
  <c r="E81" i="2"/>
  <c r="F81" i="2"/>
  <c r="E991" i="2"/>
  <c r="F991" i="2"/>
  <c r="F222" i="2"/>
  <c r="E222" i="2"/>
  <c r="E891" i="2"/>
  <c r="F891" i="2"/>
  <c r="F675" i="2"/>
  <c r="E675" i="2"/>
  <c r="F470" i="2"/>
  <c r="E470" i="2"/>
  <c r="F583" i="2"/>
  <c r="E583" i="2"/>
  <c r="E227" i="2"/>
  <c r="F227" i="2"/>
  <c r="F911" i="2"/>
  <c r="E911" i="2"/>
  <c r="E317" i="2"/>
  <c r="F317" i="2"/>
  <c r="F540" i="2"/>
  <c r="E540" i="2"/>
  <c r="E68" i="2"/>
  <c r="F68" i="2"/>
  <c r="F696" i="2"/>
  <c r="E696" i="2"/>
  <c r="E206" i="2"/>
  <c r="F206" i="2"/>
  <c r="F11" i="2"/>
  <c r="E11" i="2"/>
  <c r="E937" i="2"/>
  <c r="F937" i="2"/>
  <c r="F162" i="2"/>
  <c r="E162" i="2"/>
  <c r="E918" i="2"/>
  <c r="F918" i="2"/>
  <c r="F528" i="2"/>
  <c r="E528" i="2"/>
  <c r="E237" i="2"/>
  <c r="F237" i="2"/>
  <c r="F200" i="2"/>
  <c r="E200" i="2"/>
  <c r="E441" i="2"/>
  <c r="F441" i="2"/>
  <c r="E459" i="2"/>
  <c r="F459" i="2"/>
  <c r="E770" i="2"/>
  <c r="F770" i="2"/>
  <c r="F35" i="2"/>
  <c r="E35" i="2"/>
  <c r="E546" i="2"/>
  <c r="F546" i="2"/>
  <c r="F857" i="2"/>
  <c r="E857" i="2"/>
  <c r="E323" i="2"/>
  <c r="F323" i="2"/>
  <c r="E555" i="2"/>
  <c r="F555" i="2"/>
  <c r="E557" i="2"/>
  <c r="F557" i="2"/>
  <c r="E533" i="2"/>
  <c r="F533" i="2"/>
  <c r="F683" i="2"/>
  <c r="E683" i="2"/>
  <c r="F656" i="2"/>
  <c r="E656" i="2"/>
  <c r="F900" i="2"/>
  <c r="E900" i="2"/>
  <c r="E22" i="2"/>
  <c r="F22" i="2"/>
  <c r="F15" i="2"/>
  <c r="E15" i="2"/>
  <c r="E689" i="2"/>
  <c r="F689" i="2"/>
  <c r="F195" i="2"/>
  <c r="E195" i="2"/>
  <c r="F6" i="2"/>
  <c r="E6" i="2"/>
  <c r="F959" i="2"/>
  <c r="E959" i="2"/>
  <c r="E126" i="2"/>
  <c r="F126" i="2"/>
  <c r="E61" i="2"/>
  <c r="F61" i="2"/>
  <c r="F312" i="2"/>
  <c r="E312" i="2"/>
  <c r="E275" i="2"/>
  <c r="F275" i="2"/>
  <c r="F180" i="2"/>
  <c r="E180" i="2"/>
  <c r="E55" i="2"/>
  <c r="F55" i="2"/>
  <c r="E986" i="2"/>
  <c r="F986" i="2"/>
  <c r="E247" i="2"/>
  <c r="F247" i="2"/>
  <c r="E303" i="2"/>
  <c r="F303" i="2"/>
  <c r="E13" i="2"/>
  <c r="F13" i="2"/>
  <c r="E8" i="2"/>
  <c r="F8" i="2"/>
  <c r="F289" i="2"/>
  <c r="E289" i="2"/>
  <c r="F309" i="2"/>
  <c r="E309" i="2"/>
  <c r="E392" i="2"/>
  <c r="F392" i="2"/>
  <c r="E562" i="2"/>
  <c r="F562" i="2"/>
  <c r="F414" i="2"/>
  <c r="E414" i="2"/>
  <c r="E85" i="2"/>
  <c r="F85" i="2"/>
  <c r="F688" i="2"/>
  <c r="E688" i="2"/>
  <c r="F66" i="2"/>
  <c r="E66" i="2"/>
  <c r="E778" i="2"/>
  <c r="F778" i="2"/>
  <c r="E864" i="2"/>
  <c r="F864" i="2"/>
  <c r="F464" i="2"/>
  <c r="E464" i="2"/>
  <c r="E578" i="2"/>
  <c r="F578" i="2"/>
  <c r="E25" i="2"/>
  <c r="F25" i="2"/>
  <c r="F811" i="2"/>
  <c r="E811" i="2"/>
  <c r="F429" i="2"/>
  <c r="E429" i="2"/>
  <c r="F700" i="2"/>
  <c r="E700" i="2"/>
  <c r="E465" i="2"/>
  <c r="F465" i="2"/>
  <c r="F371" i="2"/>
  <c r="E371" i="2"/>
  <c r="E861" i="2"/>
  <c r="F861" i="2"/>
  <c r="E588" i="2"/>
  <c r="F588" i="2"/>
  <c r="F255" i="2"/>
  <c r="E255" i="2"/>
  <c r="E508" i="2"/>
  <c r="F508" i="2"/>
  <c r="E729" i="2"/>
  <c r="F729" i="2"/>
  <c r="E124" i="2"/>
  <c r="F124" i="2"/>
  <c r="F345" i="2"/>
  <c r="E345" i="2"/>
  <c r="E462" i="2"/>
  <c r="F462" i="2"/>
  <c r="E201" i="2"/>
  <c r="F201" i="2"/>
  <c r="F308" i="2"/>
  <c r="E308" i="2"/>
  <c r="E790" i="2"/>
  <c r="F790" i="2"/>
  <c r="E561" i="2"/>
  <c r="F561" i="2"/>
  <c r="E706" i="2"/>
  <c r="F706" i="2"/>
  <c r="F626" i="2"/>
  <c r="E626" i="2"/>
  <c r="F336" i="2"/>
  <c r="E336" i="2"/>
  <c r="E826" i="2"/>
  <c r="F826" i="2"/>
  <c r="E398" i="2"/>
  <c r="F398" i="2"/>
  <c r="F665" i="2"/>
  <c r="E665" i="2"/>
  <c r="F775" i="2"/>
  <c r="E775" i="2"/>
  <c r="F671" i="2"/>
  <c r="E671" i="2"/>
  <c r="E768" i="2"/>
  <c r="F768" i="2"/>
  <c r="F235" i="2"/>
  <c r="E235" i="2"/>
  <c r="F439" i="2"/>
  <c r="E439" i="2"/>
  <c r="F975" i="2"/>
  <c r="E975" i="2"/>
  <c r="F140" i="2"/>
  <c r="E140" i="2"/>
  <c r="E806" i="2"/>
  <c r="F806" i="2"/>
  <c r="F767" i="2"/>
  <c r="E767" i="2"/>
  <c r="E547" i="2"/>
  <c r="F547" i="2"/>
  <c r="E59" i="2"/>
  <c r="F59" i="2"/>
  <c r="F815" i="2"/>
  <c r="E815" i="2"/>
  <c r="E380" i="2"/>
  <c r="F380" i="2"/>
  <c r="E625" i="2"/>
  <c r="F625" i="2"/>
  <c r="F322" i="2"/>
  <c r="E322" i="2"/>
  <c r="E240" i="2"/>
  <c r="F240" i="2"/>
  <c r="E631" i="2"/>
  <c r="F631" i="2"/>
  <c r="F920" i="2"/>
  <c r="E920" i="2"/>
  <c r="F780" i="2"/>
  <c r="E780" i="2"/>
  <c r="E491" i="2"/>
  <c r="F491" i="2"/>
  <c r="E901" i="2"/>
  <c r="F901" i="2"/>
  <c r="E565" i="2"/>
  <c r="F565" i="2"/>
  <c r="E542" i="2"/>
  <c r="F542" i="2"/>
  <c r="E676" i="2"/>
  <c r="F676" i="2"/>
  <c r="F828" i="2"/>
  <c r="E828" i="2"/>
  <c r="E179" i="2"/>
  <c r="F179" i="2"/>
  <c r="E425" i="2"/>
  <c r="F425" i="2"/>
  <c r="E556" i="2"/>
  <c r="F556" i="2"/>
  <c r="F20" i="2"/>
  <c r="E20" i="2"/>
  <c r="E157" i="2"/>
  <c r="F157" i="2"/>
  <c r="F792" i="2"/>
  <c r="E792" i="2"/>
  <c r="F232" i="2"/>
  <c r="E232" i="2"/>
  <c r="F593" i="2"/>
  <c r="E593" i="2"/>
  <c r="E721" i="2"/>
  <c r="F721" i="2"/>
  <c r="F292" i="2"/>
  <c r="E292" i="2"/>
  <c r="E153" i="2"/>
  <c r="F153" i="2"/>
  <c r="E820" i="2"/>
  <c r="F820" i="2"/>
  <c r="F580" i="2"/>
  <c r="E580" i="2"/>
  <c r="E532" i="2"/>
  <c r="F532" i="2"/>
  <c r="E409" i="2"/>
  <c r="F409" i="2"/>
  <c r="E145" i="2"/>
  <c r="F145" i="2"/>
  <c r="E747" i="2"/>
  <c r="F747" i="2"/>
  <c r="E475" i="2"/>
  <c r="F475" i="2"/>
  <c r="F880" i="2"/>
  <c r="E880" i="2"/>
  <c r="F946" i="2"/>
  <c r="E946" i="2"/>
  <c r="F548" i="2"/>
  <c r="E548" i="2"/>
  <c r="E701" i="2"/>
  <c r="F701" i="2"/>
  <c r="E925" i="2"/>
  <c r="F925" i="2"/>
  <c r="F787" i="2"/>
  <c r="E787" i="2"/>
  <c r="F129" i="2"/>
  <c r="E129" i="2"/>
  <c r="F52" i="2"/>
  <c r="E52" i="2"/>
  <c r="F668" i="2"/>
  <c r="E668" i="2"/>
  <c r="E581" i="2"/>
  <c r="F581" i="2"/>
  <c r="E426" i="2"/>
  <c r="F426" i="2"/>
  <c r="E295" i="2"/>
  <c r="F295" i="2"/>
  <c r="F388" i="2"/>
  <c r="E388" i="2"/>
  <c r="E624" i="2"/>
  <c r="F624" i="2"/>
  <c r="E1004" i="2"/>
  <c r="F1004" i="2"/>
  <c r="F594" i="2"/>
  <c r="E594" i="2"/>
  <c r="E93" i="2"/>
  <c r="F93" i="2"/>
  <c r="F410" i="2"/>
  <c r="E410" i="2"/>
  <c r="E896" i="2"/>
  <c r="F896" i="2"/>
  <c r="F77" i="2"/>
  <c r="E77" i="2"/>
  <c r="F146" i="2"/>
  <c r="E146" i="2"/>
  <c r="F999" i="2"/>
  <c r="E999" i="2"/>
  <c r="E640" i="2"/>
  <c r="F640" i="2"/>
  <c r="F781" i="2"/>
  <c r="E781" i="2"/>
  <c r="F505" i="2"/>
  <c r="E505" i="2"/>
  <c r="E782" i="2"/>
  <c r="F782" i="2"/>
  <c r="E56" i="2"/>
  <c r="F56" i="2"/>
  <c r="F884" i="2"/>
  <c r="E884" i="2"/>
  <c r="F186" i="2"/>
  <c r="E186" i="2"/>
  <c r="E865" i="2"/>
  <c r="F865" i="2"/>
  <c r="F278" i="2"/>
  <c r="E278" i="2"/>
  <c r="E883" i="2"/>
  <c r="F883" i="2"/>
  <c r="F838" i="2"/>
  <c r="E838" i="2"/>
  <c r="E563" i="2"/>
  <c r="F563" i="2"/>
  <c r="E339" i="2"/>
  <c r="F339" i="2"/>
  <c r="F666" i="2"/>
  <c r="E666" i="2"/>
  <c r="F634" i="2"/>
  <c r="E634" i="2"/>
  <c r="E359" i="2"/>
  <c r="F359" i="2"/>
  <c r="E191" i="2"/>
  <c r="F191" i="2"/>
  <c r="F846" i="2"/>
  <c r="E846" i="2"/>
  <c r="F315" i="2"/>
  <c r="E315" i="2"/>
  <c r="F105" i="2"/>
  <c r="E105" i="2"/>
  <c r="E45" i="2"/>
  <c r="F45" i="2"/>
  <c r="E199" i="2"/>
  <c r="F199" i="2"/>
  <c r="F670" i="2"/>
  <c r="E670" i="2"/>
  <c r="E319" i="2"/>
  <c r="F319" i="2"/>
  <c r="E821" i="2"/>
  <c r="F821" i="2"/>
  <c r="E104" i="2"/>
  <c r="F104" i="2"/>
  <c r="E115" i="2"/>
  <c r="F115" i="2"/>
  <c r="E326" i="2"/>
  <c r="F326" i="2"/>
  <c r="E88" i="2"/>
  <c r="F88" i="2"/>
  <c r="E265" i="2"/>
  <c r="F265" i="2"/>
  <c r="F825" i="2"/>
  <c r="E825" i="2"/>
  <c r="E517" i="2"/>
  <c r="F517" i="2"/>
  <c r="F214" i="2"/>
  <c r="E214" i="2"/>
  <c r="E979" i="2"/>
  <c r="F979" i="2"/>
  <c r="E467" i="2"/>
  <c r="F467" i="2"/>
  <c r="F766" i="2"/>
  <c r="E766" i="2"/>
  <c r="E98" i="2"/>
  <c r="F98" i="2"/>
  <c r="E193" i="2"/>
  <c r="F193" i="2"/>
  <c r="F284" i="2"/>
  <c r="E284" i="2"/>
  <c r="E495" i="2"/>
  <c r="F495" i="2"/>
  <c r="F750" i="2"/>
  <c r="E750" i="2"/>
  <c r="E440" i="2"/>
  <c r="F440" i="2"/>
  <c r="E784" i="2"/>
  <c r="F784" i="2"/>
  <c r="E529" i="2"/>
  <c r="F529" i="2"/>
  <c r="F360" i="2"/>
  <c r="E360" i="2"/>
  <c r="F264" i="2"/>
  <c r="E264" i="2"/>
  <c r="F1000" i="2"/>
  <c r="E1000" i="2"/>
  <c r="F92" i="2"/>
  <c r="E92" i="2"/>
  <c r="E341" i="2"/>
  <c r="F341" i="2"/>
  <c r="E602" i="2"/>
  <c r="F602" i="2"/>
  <c r="E614" i="2"/>
  <c r="F614" i="2"/>
  <c r="F629" i="2"/>
  <c r="E629" i="2"/>
  <c r="E713" i="2"/>
  <c r="F713" i="2"/>
  <c r="F728" i="2"/>
  <c r="E728" i="2"/>
  <c r="E570" i="2"/>
  <c r="F570" i="2"/>
  <c r="F636" i="2"/>
  <c r="E636" i="2"/>
  <c r="E559" i="2"/>
  <c r="F559" i="2"/>
  <c r="E569" i="2"/>
  <c r="F569" i="2"/>
  <c r="E113" i="2"/>
  <c r="F113" i="2"/>
  <c r="F856" i="2"/>
  <c r="E856" i="2"/>
  <c r="F454" i="2"/>
  <c r="E454" i="2"/>
  <c r="E422" i="2"/>
  <c r="F422" i="2"/>
  <c r="E680" i="2"/>
  <c r="F680" i="2"/>
  <c r="E848" i="2"/>
  <c r="F848" i="2"/>
  <c r="E24" i="2"/>
  <c r="F24" i="2"/>
  <c r="F519" i="2"/>
  <c r="E519" i="2"/>
  <c r="E776" i="2"/>
  <c r="F776" i="2"/>
  <c r="E641" i="2"/>
  <c r="F641" i="2"/>
  <c r="F332" i="2"/>
  <c r="E332" i="2"/>
  <c r="E812" i="2"/>
  <c r="F812" i="2"/>
  <c r="F408" i="2"/>
  <c r="E408" i="2"/>
  <c r="E131" i="2"/>
  <c r="F131" i="2"/>
  <c r="E599" i="2"/>
  <c r="F599" i="2"/>
  <c r="F703" i="2"/>
  <c r="E703" i="2"/>
  <c r="F543" i="2"/>
  <c r="E543" i="2"/>
  <c r="E393" i="2"/>
  <c r="F393" i="2"/>
  <c r="E978" i="2"/>
  <c r="F978" i="2"/>
  <c r="E754" i="2"/>
  <c r="F754" i="2"/>
  <c r="E738" i="2"/>
  <c r="F738" i="2"/>
  <c r="F176" i="2"/>
  <c r="E176" i="2"/>
  <c r="E163" i="2"/>
  <c r="F163" i="2"/>
  <c r="E91" i="2"/>
  <c r="F91" i="2"/>
  <c r="E858" i="2"/>
  <c r="F858" i="2"/>
  <c r="F952" i="2"/>
  <c r="E952" i="2"/>
  <c r="E363" i="2"/>
  <c r="F363" i="2"/>
  <c r="F394" i="2"/>
  <c r="E394" i="2"/>
  <c r="F843" i="2"/>
  <c r="E843" i="2"/>
  <c r="F628" i="2"/>
  <c r="E628" i="2"/>
  <c r="F461" i="2"/>
  <c r="E461" i="2"/>
  <c r="F611" i="2"/>
  <c r="E611" i="2"/>
  <c r="F732" i="2"/>
  <c r="E732" i="2"/>
  <c r="F458" i="2"/>
  <c r="E458" i="2"/>
  <c r="E735" i="2"/>
  <c r="F735" i="2"/>
  <c r="E5" i="2"/>
  <c r="F5" i="2"/>
  <c r="F304" i="2"/>
  <c r="E304" i="2"/>
  <c r="E737" i="2"/>
  <c r="F737" i="2"/>
  <c r="E798" i="2"/>
  <c r="F798" i="2"/>
  <c r="F749" i="2"/>
  <c r="E749" i="2"/>
  <c r="F364" i="2"/>
  <c r="E364" i="2"/>
  <c r="F418" i="2"/>
  <c r="E418" i="2"/>
  <c r="E595" i="2"/>
  <c r="F595" i="2"/>
  <c r="E944" i="2"/>
  <c r="F944" i="2"/>
  <c r="E456" i="2"/>
  <c r="F456" i="2"/>
  <c r="F335" i="2"/>
  <c r="E335" i="2"/>
  <c r="F70" i="2"/>
  <c r="E70" i="2"/>
  <c r="F453" i="2"/>
  <c r="E453" i="2"/>
  <c r="E102" i="2"/>
  <c r="F102" i="2"/>
  <c r="E582" i="2"/>
  <c r="F582" i="2"/>
  <c r="E161" i="2"/>
  <c r="F161" i="2"/>
  <c r="F72" i="2"/>
  <c r="E72" i="2"/>
  <c r="E506" i="2"/>
  <c r="F506" i="2"/>
  <c r="F207" i="2"/>
  <c r="E207" i="2"/>
  <c r="F122" i="2"/>
  <c r="E122" i="2"/>
  <c r="F497" i="2"/>
  <c r="E497" i="2"/>
  <c r="F708" i="2"/>
  <c r="E708" i="2"/>
  <c r="F170" i="2"/>
  <c r="E170" i="2"/>
  <c r="E511" i="2"/>
  <c r="F511" i="2"/>
  <c r="F210" i="2"/>
  <c r="E210" i="2"/>
  <c r="F47" i="2"/>
  <c r="E47" i="2"/>
  <c r="E526" i="2"/>
  <c r="F526" i="2"/>
  <c r="F934" i="2"/>
  <c r="E934" i="2"/>
  <c r="E252" i="2"/>
  <c r="F252" i="2"/>
  <c r="F434" i="2"/>
  <c r="E434" i="2"/>
  <c r="E296" i="2"/>
  <c r="F296" i="2"/>
  <c r="E194" i="2"/>
  <c r="F194" i="2"/>
  <c r="E817" i="2"/>
  <c r="F817" i="2"/>
  <c r="F536" i="2"/>
  <c r="E536" i="2"/>
  <c r="F134" i="2"/>
  <c r="E134" i="2"/>
  <c r="E971" i="2"/>
  <c r="F971" i="2"/>
  <c r="F386" i="2"/>
  <c r="E386" i="2"/>
  <c r="F669" i="2"/>
  <c r="E669" i="2"/>
  <c r="E990" i="2"/>
  <c r="F990" i="2"/>
  <c r="F950" i="2"/>
  <c r="E950" i="2"/>
  <c r="E181" i="2"/>
  <c r="F181" i="2"/>
  <c r="E87" i="2"/>
  <c r="F87" i="2"/>
  <c r="F177" i="2"/>
  <c r="E177" i="2"/>
  <c r="E402" i="2"/>
  <c r="F402" i="2"/>
  <c r="F842" i="2"/>
  <c r="E842" i="2"/>
  <c r="F127" i="2"/>
  <c r="E127" i="2"/>
  <c r="E613" i="2"/>
  <c r="F613" i="2"/>
  <c r="F510" i="2"/>
  <c r="E510" i="2"/>
  <c r="F596" i="2"/>
  <c r="E596" i="2"/>
  <c r="E51" i="2"/>
  <c r="F51" i="2"/>
  <c r="F151" i="2"/>
  <c r="E151" i="2"/>
  <c r="F874" i="2"/>
  <c r="E874" i="2"/>
  <c r="E579" i="2"/>
  <c r="F579" i="2"/>
  <c r="F478" i="2"/>
  <c r="E478" i="2"/>
  <c r="E355" i="2"/>
  <c r="F355" i="2"/>
  <c r="F679" i="2"/>
  <c r="E679" i="2"/>
  <c r="F29" i="2"/>
  <c r="E29" i="2"/>
  <c r="E535" i="2"/>
  <c r="F535" i="2"/>
  <c r="E500" i="2"/>
  <c r="F500" i="2"/>
  <c r="F892" i="2"/>
  <c r="E892" i="2"/>
  <c r="E758" i="2"/>
  <c r="F758" i="2"/>
  <c r="E103" i="2"/>
  <c r="F103" i="2"/>
  <c r="E718" i="2"/>
  <c r="F718" i="2"/>
  <c r="E300" i="2"/>
  <c r="F300" i="2"/>
  <c r="E445" i="2"/>
  <c r="F445" i="2"/>
  <c r="F860" i="2"/>
  <c r="E860" i="2"/>
  <c r="F823" i="2"/>
  <c r="E823" i="2"/>
  <c r="E290" i="2"/>
  <c r="F290" i="2"/>
  <c r="E353" i="2"/>
  <c r="F353" i="2"/>
  <c r="F525" i="2"/>
  <c r="E525" i="2"/>
  <c r="F727" i="2"/>
  <c r="E727" i="2"/>
  <c r="E379" i="2"/>
  <c r="F379" i="2"/>
  <c r="F995" i="2"/>
  <c r="E995" i="2"/>
  <c r="F43" i="2"/>
  <c r="E43" i="2"/>
  <c r="E14" i="2"/>
  <c r="F14" i="2"/>
  <c r="E926" i="2"/>
  <c r="F926" i="2"/>
  <c r="E881" i="2"/>
  <c r="F881" i="2"/>
  <c r="E684" i="2"/>
  <c r="F684" i="2"/>
  <c r="E203" i="2"/>
  <c r="F203" i="2"/>
  <c r="E660" i="2"/>
  <c r="F660" i="2"/>
  <c r="E137" i="2"/>
  <c r="F137" i="2"/>
  <c r="F551" i="2"/>
  <c r="E551" i="2"/>
  <c r="F877" i="2"/>
  <c r="E877" i="2"/>
  <c r="E209" i="2"/>
  <c r="F209" i="2"/>
  <c r="E659" i="2"/>
  <c r="F659" i="2"/>
  <c r="E576" i="2"/>
  <c r="F576" i="2"/>
  <c r="F233" i="2"/>
  <c r="E233" i="2"/>
  <c r="E173" i="2"/>
  <c r="F173" i="2"/>
  <c r="E667" i="2"/>
  <c r="F667" i="2"/>
  <c r="E496" i="2"/>
  <c r="F496" i="2"/>
  <c r="E983" i="2"/>
  <c r="F983" i="2"/>
  <c r="E482" i="2"/>
  <c r="F482" i="2"/>
  <c r="F849" i="2"/>
  <c r="E849" i="2"/>
  <c r="E794" i="2"/>
  <c r="F794" i="2"/>
  <c r="F894" i="2"/>
  <c r="E894" i="2"/>
  <c r="E27" i="2"/>
  <c r="F27" i="2"/>
  <c r="F331" i="2"/>
  <c r="E331" i="2"/>
  <c r="E942" i="2"/>
  <c r="F942" i="2"/>
  <c r="F755" i="2"/>
  <c r="E755" i="2"/>
  <c r="E167" i="2"/>
  <c r="F167" i="2"/>
  <c r="E427" i="2"/>
  <c r="F427" i="2"/>
  <c r="F299" i="2"/>
  <c r="E299" i="2"/>
  <c r="E226" i="2"/>
  <c r="F226" i="2"/>
  <c r="F76" i="2"/>
  <c r="E76" i="2"/>
  <c r="F771" i="2"/>
  <c r="E771" i="2"/>
  <c r="F589" i="2"/>
  <c r="E589" i="2"/>
  <c r="E383" i="2"/>
  <c r="F383" i="2"/>
  <c r="F120" i="2"/>
  <c r="E120" i="2"/>
  <c r="E845" i="2"/>
  <c r="F845" i="2"/>
  <c r="F250" i="2"/>
  <c r="E250" i="2"/>
  <c r="E709" i="2"/>
  <c r="F709" i="2"/>
  <c r="E114" i="2"/>
  <c r="F114" i="2"/>
  <c r="E520" i="2"/>
  <c r="F520" i="2"/>
  <c r="E530" i="2"/>
  <c r="F530" i="2"/>
  <c r="F503" i="2"/>
  <c r="E503" i="2"/>
  <c r="E473" i="2"/>
  <c r="F473" i="2"/>
  <c r="F889" i="2"/>
  <c r="E889" i="2"/>
  <c r="F852" i="2"/>
  <c r="E852" i="2"/>
  <c r="E928" i="2"/>
  <c r="F928" i="2"/>
  <c r="F351" i="2"/>
  <c r="E351" i="2"/>
  <c r="F106" i="2"/>
  <c r="E106" i="2"/>
  <c r="F381" i="2"/>
  <c r="E381" i="2"/>
  <c r="E46" i="2"/>
  <c r="F46" i="2"/>
  <c r="E128" i="2"/>
  <c r="F128" i="2"/>
  <c r="F196" i="2"/>
  <c r="E196" i="2"/>
  <c r="F385" i="2"/>
  <c r="E385" i="2"/>
  <c r="F340" i="2"/>
  <c r="E340" i="2"/>
  <c r="F504" i="2"/>
  <c r="E504" i="2"/>
  <c r="F82" i="2"/>
  <c r="E82" i="2"/>
  <c r="E213" i="2"/>
  <c r="F213" i="2"/>
  <c r="F610" i="2"/>
  <c r="E610" i="2"/>
  <c r="F601" i="2"/>
  <c r="E601" i="2"/>
  <c r="F633" i="2"/>
  <c r="E633" i="2"/>
  <c r="F274" i="2"/>
  <c r="E274" i="2"/>
  <c r="F832" i="2"/>
  <c r="E832" i="2"/>
  <c r="F447" i="2"/>
  <c r="E447" i="2"/>
  <c r="E854" i="2"/>
  <c r="F854" i="2"/>
  <c r="E211" i="2"/>
  <c r="F211" i="2"/>
  <c r="F396" i="2"/>
  <c r="E396" i="2"/>
  <c r="E715" i="2"/>
  <c r="F715" i="2"/>
  <c r="F261" i="2"/>
  <c r="E261" i="2"/>
  <c r="E423" i="2"/>
  <c r="F423" i="2"/>
  <c r="F487" i="2"/>
  <c r="E487" i="2"/>
  <c r="F992" i="2"/>
  <c r="E992" i="2"/>
  <c r="F774" i="2"/>
  <c r="E774" i="2"/>
  <c r="E376" i="2"/>
  <c r="F376" i="2"/>
  <c r="F814" i="2"/>
  <c r="E814" i="2"/>
  <c r="F241" i="2"/>
  <c r="E241" i="2"/>
  <c r="E663" i="2"/>
  <c r="F663" i="2"/>
  <c r="F108" i="2"/>
  <c r="E108" i="2"/>
  <c r="F486" i="2"/>
  <c r="E486" i="2"/>
  <c r="F793" i="2"/>
  <c r="E793" i="2"/>
  <c r="E197" i="2"/>
  <c r="F197" i="2"/>
  <c r="F682" i="2"/>
  <c r="E682" i="2"/>
  <c r="F903" i="2"/>
  <c r="E903" i="2"/>
  <c r="E886" i="2"/>
  <c r="F886" i="2"/>
  <c r="F639" i="2"/>
  <c r="E639" i="2"/>
  <c r="E174" i="2"/>
  <c r="F174" i="2"/>
  <c r="F927" i="2"/>
  <c r="E927" i="2"/>
  <c r="E471" i="2"/>
  <c r="F471" i="2"/>
  <c r="E142" i="2"/>
  <c r="F142" i="2"/>
  <c r="E654" i="2"/>
  <c r="F654" i="2"/>
  <c r="E10" i="2"/>
  <c r="F10" i="2"/>
  <c r="F1003" i="2"/>
  <c r="E1003" i="2"/>
  <c r="E403" i="2"/>
  <c r="F403" i="2"/>
  <c r="F215" i="2"/>
  <c r="E215" i="2"/>
  <c r="E282" i="2"/>
  <c r="F282" i="2"/>
  <c r="E38" i="2"/>
  <c r="F38" i="2"/>
  <c r="F19" i="2"/>
  <c r="E19" i="2"/>
  <c r="F53" i="2"/>
  <c r="E53" i="2"/>
  <c r="E407" i="2"/>
  <c r="F407" i="2"/>
  <c r="E620" i="2"/>
  <c r="F620" i="2"/>
  <c r="F83" i="2"/>
  <c r="E83" i="2"/>
  <c r="F67" i="2"/>
  <c r="E67" i="2"/>
  <c r="F586" i="2"/>
  <c r="E586" i="2"/>
  <c r="F621" i="2"/>
  <c r="E621" i="2"/>
  <c r="E603" i="2"/>
  <c r="F603" i="2"/>
  <c r="E653" i="2"/>
  <c r="F653" i="2"/>
  <c r="F119" i="2"/>
  <c r="E119" i="2"/>
  <c r="E575" i="2"/>
  <c r="F575" i="2"/>
  <c r="F988" i="2"/>
  <c r="E988" i="2"/>
  <c r="E554" i="2"/>
  <c r="F554" i="2"/>
  <c r="E63" i="2"/>
  <c r="F63" i="2"/>
  <c r="F652" i="2"/>
  <c r="E652" i="2"/>
  <c r="E819" i="2"/>
  <c r="F819" i="2"/>
  <c r="E138" i="2"/>
  <c r="F138" i="2"/>
  <c r="F489" i="2"/>
  <c r="E489" i="2"/>
  <c r="E474" i="2"/>
  <c r="F474" i="2"/>
  <c r="E286" i="2"/>
  <c r="F286" i="2"/>
  <c r="E74" i="2"/>
  <c r="F74" i="2"/>
  <c r="E18" i="2"/>
  <c r="F18" i="2"/>
  <c r="F28" i="2"/>
  <c r="E28" i="2"/>
  <c r="F306" i="2"/>
  <c r="E306" i="2"/>
  <c r="E851" i="2"/>
  <c r="F851" i="2"/>
  <c r="F7" i="2"/>
  <c r="E7" i="2"/>
  <c r="F965" i="2"/>
  <c r="E965" i="2"/>
  <c r="F921" i="2"/>
  <c r="E921" i="2"/>
  <c r="E560" i="2"/>
  <c r="F560" i="2"/>
  <c r="E270" i="2"/>
  <c r="F270" i="2"/>
  <c r="E484" i="2"/>
  <c r="F484" i="2"/>
  <c r="E635" i="2"/>
  <c r="F635" i="2"/>
  <c r="F221" i="2"/>
  <c r="E221" i="2"/>
  <c r="E40" i="2"/>
  <c r="F40" i="2"/>
  <c r="F248" i="2"/>
  <c r="E248" i="2"/>
  <c r="F987" i="2"/>
  <c r="E987" i="2"/>
  <c r="F404" i="2"/>
  <c r="E404" i="2"/>
  <c r="F799" i="2"/>
  <c r="E799" i="2"/>
  <c r="F164" i="2"/>
  <c r="E164" i="2"/>
  <c r="F726" i="2"/>
  <c r="E726" i="2"/>
  <c r="E310" i="2"/>
  <c r="F310" i="2"/>
  <c r="E361" i="2"/>
  <c r="F361" i="2"/>
  <c r="E165" i="2"/>
  <c r="F165" i="2"/>
  <c r="E966" i="2"/>
  <c r="F966" i="2"/>
  <c r="F430" i="2"/>
  <c r="E430" i="2"/>
  <c r="E219" i="2"/>
  <c r="F219" i="2"/>
  <c r="E382" i="2"/>
  <c r="F382" i="2"/>
  <c r="E169" i="2"/>
  <c r="F169" i="2"/>
  <c r="E841" i="2"/>
  <c r="F841" i="2"/>
  <c r="E573" i="2"/>
  <c r="F573" i="2"/>
  <c r="F33" i="2"/>
  <c r="E33" i="2"/>
  <c r="E922" i="2"/>
  <c r="F922" i="2"/>
  <c r="F850" i="2"/>
  <c r="E850" i="2"/>
  <c r="E135" i="2"/>
  <c r="F135" i="2"/>
  <c r="F904" i="2"/>
  <c r="E904" i="2"/>
  <c r="E968" i="2"/>
  <c r="F968" i="2"/>
  <c r="E443" i="2"/>
  <c r="F443" i="2"/>
  <c r="E249" i="2"/>
  <c r="F249" i="2"/>
  <c r="E924" i="2"/>
  <c r="F924" i="2"/>
  <c r="F244" i="2"/>
  <c r="E244" i="2"/>
  <c r="E417" i="2"/>
  <c r="F417" i="2"/>
  <c r="E234" i="2"/>
  <c r="F234" i="2"/>
  <c r="E592" i="2"/>
  <c r="F592" i="2"/>
  <c r="E112" i="2"/>
  <c r="F112" i="2"/>
  <c r="F724" i="2"/>
  <c r="E724" i="2"/>
  <c r="F618" i="2"/>
  <c r="E618" i="2"/>
  <c r="F225" i="2"/>
  <c r="E225" i="2"/>
  <c r="F436" i="2"/>
  <c r="E436" i="2"/>
  <c r="F772" i="2"/>
  <c r="E772" i="2"/>
  <c r="F751" i="2"/>
  <c r="E751" i="2"/>
  <c r="E518" i="2"/>
  <c r="F518" i="2"/>
  <c r="F871" i="2"/>
  <c r="E871" i="2"/>
  <c r="E251" i="2"/>
  <c r="F251" i="2"/>
  <c r="F279" i="2"/>
  <c r="E279" i="2"/>
  <c r="E301" i="2"/>
  <c r="F301" i="2"/>
  <c r="F906" i="2"/>
  <c r="E906" i="2"/>
  <c r="F720" i="2"/>
  <c r="E720" i="2"/>
  <c r="F558" i="2"/>
  <c r="E558" i="2"/>
  <c r="E984" i="2"/>
  <c r="F984" i="2"/>
  <c r="E333" i="2"/>
  <c r="F333" i="2"/>
  <c r="E328" i="2"/>
  <c r="F328" i="2"/>
  <c r="E288" i="2"/>
  <c r="F288" i="2"/>
  <c r="F316" i="2"/>
  <c r="E316" i="2"/>
  <c r="F805" i="2"/>
  <c r="E805" i="2"/>
  <c r="F664" i="2"/>
  <c r="E664" i="2"/>
  <c r="F347" i="2"/>
  <c r="E347" i="2"/>
  <c r="E54" i="2"/>
  <c r="F54" i="2"/>
  <c r="E273" i="2"/>
  <c r="F273" i="2"/>
  <c r="F699" i="2"/>
  <c r="E699" i="2"/>
  <c r="E960" i="2"/>
  <c r="F960" i="2"/>
  <c r="E953" i="2"/>
  <c r="F953" i="2"/>
  <c r="F607" i="2"/>
  <c r="E607" i="2"/>
  <c r="F57" i="2"/>
  <c r="E57" i="2"/>
  <c r="F501" i="2"/>
  <c r="E501" i="2"/>
  <c r="E761" i="2"/>
  <c r="F761" i="2"/>
  <c r="E833" i="2"/>
  <c r="F833" i="2"/>
  <c r="F205" i="2"/>
  <c r="E205" i="2"/>
  <c r="E779" i="2"/>
  <c r="F779" i="2"/>
  <c r="F824" i="2"/>
  <c r="E824" i="2"/>
  <c r="F963" i="2"/>
  <c r="E963" i="2"/>
  <c r="E276" i="2"/>
  <c r="F276" i="2"/>
  <c r="F795" i="2"/>
  <c r="E795" i="2"/>
  <c r="F378" i="2"/>
  <c r="E378" i="2"/>
  <c r="E334" i="2"/>
  <c r="F334" i="2"/>
  <c r="E590" i="2"/>
  <c r="F590" i="2"/>
  <c r="F898" i="2"/>
  <c r="E898" i="2"/>
  <c r="E242" i="2"/>
  <c r="F242" i="2"/>
  <c r="F401" i="2"/>
  <c r="E401" i="2"/>
  <c r="F514" i="2"/>
  <c r="E514" i="2"/>
  <c r="F785" i="2"/>
  <c r="E785" i="2"/>
  <c r="E531" i="2"/>
  <c r="F531" i="2"/>
  <c r="E79" i="2"/>
  <c r="F79" i="2"/>
  <c r="E421" i="2"/>
  <c r="F421" i="2"/>
  <c r="F217" i="2"/>
  <c r="E217" i="2"/>
  <c r="E415" i="2"/>
  <c r="F415" i="2"/>
  <c r="F260" i="2"/>
  <c r="E260" i="2"/>
  <c r="F951" i="2"/>
  <c r="E951" i="2"/>
  <c r="E847" i="2"/>
  <c r="F847" i="2"/>
  <c r="F370" i="2"/>
  <c r="E370" i="2"/>
  <c r="F229" i="2"/>
  <c r="E229" i="2"/>
  <c r="F212" i="2"/>
  <c r="E212" i="2"/>
  <c r="F375" i="2"/>
  <c r="E375" i="2"/>
  <c r="E650" i="2"/>
  <c r="F650" i="2"/>
  <c r="E143" i="2"/>
  <c r="F143" i="2"/>
  <c r="F285" i="2"/>
  <c r="E285" i="2"/>
  <c r="E9" i="2"/>
  <c r="F9" i="2"/>
  <c r="F712" i="2"/>
  <c r="E712" i="2"/>
  <c r="F649" i="2"/>
  <c r="E649" i="2"/>
  <c r="F954" i="2"/>
  <c r="E954" i="2"/>
  <c r="E327" i="2"/>
  <c r="F327" i="2"/>
  <c r="F678" i="2"/>
  <c r="E678" i="2"/>
  <c r="F90" i="2"/>
  <c r="E90" i="2"/>
  <c r="E989" i="2"/>
  <c r="F989" i="2"/>
  <c r="F899" i="2"/>
  <c r="E899" i="2"/>
  <c r="F413" i="2"/>
  <c r="E413" i="2"/>
  <c r="E777" i="2"/>
  <c r="F777" i="2"/>
  <c r="E437" i="2"/>
  <c r="F437" i="2"/>
  <c r="E188" i="2"/>
  <c r="F188" i="2"/>
  <c r="E216" i="2"/>
  <c r="F216" i="2"/>
  <c r="F431" i="2"/>
  <c r="E431" i="2"/>
  <c r="F32" i="2"/>
  <c r="E32" i="2"/>
  <c r="F566" i="2"/>
  <c r="E566" i="2"/>
  <c r="F64" i="2"/>
  <c r="E64" i="2"/>
  <c r="E762" i="2"/>
  <c r="F762" i="2"/>
  <c r="F358" i="2"/>
  <c r="E358" i="2"/>
  <c r="E202" i="2"/>
  <c r="F202" i="2"/>
  <c r="E223" i="2"/>
  <c r="F223" i="2"/>
  <c r="F830" i="2"/>
  <c r="E830" i="2"/>
  <c r="F198" i="2"/>
  <c r="E198" i="2"/>
  <c r="F73" i="2"/>
  <c r="E73" i="2"/>
  <c r="F262" i="2"/>
  <c r="E262" i="2"/>
  <c r="E477" i="2"/>
  <c r="F477" i="2"/>
  <c r="E609" i="2"/>
  <c r="F609" i="2"/>
  <c r="E411" i="2"/>
  <c r="F411" i="2"/>
  <c r="F184" i="2"/>
  <c r="E184" i="2"/>
  <c r="E263" i="2"/>
  <c r="F263" i="2"/>
  <c r="F705" i="2"/>
  <c r="E705" i="2"/>
  <c r="F479" i="2"/>
  <c r="E479" i="2"/>
  <c r="E919" i="2"/>
  <c r="F919" i="2"/>
  <c r="F977" i="2"/>
  <c r="E977" i="2"/>
  <c r="F870" i="2"/>
  <c r="E870" i="2"/>
  <c r="E716" i="2"/>
  <c r="F716" i="2"/>
  <c r="F912" i="2"/>
  <c r="E912" i="2"/>
  <c r="F231" i="2"/>
  <c r="E231" i="2"/>
  <c r="E238" i="2"/>
  <c r="F238" i="2"/>
  <c r="F931" i="2"/>
  <c r="E931" i="2"/>
  <c r="E132" i="2"/>
  <c r="F132" i="2"/>
  <c r="E544" i="2"/>
  <c r="F544" i="2"/>
  <c r="F962" i="2"/>
  <c r="E962" i="2"/>
  <c r="F455" i="2"/>
  <c r="E455" i="2"/>
  <c r="F493" i="2"/>
  <c r="E493" i="2"/>
  <c r="F357" i="2"/>
  <c r="E357" i="2"/>
  <c r="E657" i="2"/>
  <c r="F657" i="2"/>
  <c r="F297" i="2"/>
  <c r="E297" i="2"/>
  <c r="E291" i="2"/>
  <c r="F291" i="2"/>
  <c r="E600" i="2"/>
  <c r="F600" i="2"/>
  <c r="E686" i="2"/>
  <c r="F686" i="2"/>
  <c r="F428" i="2"/>
  <c r="E428" i="2"/>
  <c r="E293" i="2"/>
  <c r="F293" i="2"/>
  <c r="F391" i="2"/>
  <c r="E391" i="2"/>
  <c r="F463" i="2"/>
  <c r="E463" i="2"/>
  <c r="F872" i="2"/>
  <c r="E872" i="2"/>
  <c r="E121" i="2"/>
  <c r="F121" i="2"/>
  <c r="F818" i="2"/>
  <c r="E818" i="2"/>
  <c r="F722" i="2"/>
  <c r="E722" i="2"/>
  <c r="E362" i="2"/>
  <c r="F362" i="2"/>
  <c r="F509" i="2"/>
  <c r="E509" i="2"/>
  <c r="F342" i="2"/>
  <c r="E342" i="2"/>
  <c r="E587" i="2"/>
  <c r="F587" i="2"/>
  <c r="F287" i="2"/>
  <c r="E287" i="2"/>
  <c r="E152" i="2"/>
  <c r="F152" i="2"/>
  <c r="E617" i="2"/>
  <c r="F617" i="2"/>
  <c r="E175" i="2"/>
  <c r="F175" i="2"/>
  <c r="F550" i="2"/>
  <c r="E550" i="2"/>
  <c r="F763" i="2"/>
  <c r="E763" i="2"/>
  <c r="E691" i="2"/>
  <c r="F691" i="2"/>
  <c r="E808" i="2"/>
  <c r="F808" i="2"/>
  <c r="E96" i="2"/>
  <c r="F96" i="2"/>
  <c r="E311" i="2"/>
  <c r="F311" i="2"/>
  <c r="E612" i="2"/>
  <c r="F612" i="2"/>
  <c r="F958" i="2"/>
  <c r="E958" i="2"/>
  <c r="F395" i="2"/>
  <c r="E395" i="2"/>
  <c r="F866" i="2"/>
  <c r="E866" i="2"/>
  <c r="F545" i="2"/>
  <c r="E545" i="2"/>
  <c r="E606" i="2"/>
  <c r="F606" i="2"/>
  <c r="F44" i="2"/>
  <c r="E44" i="2"/>
  <c r="F397" i="2"/>
  <c r="E397" i="2"/>
  <c r="F527" i="2"/>
  <c r="E527" i="2"/>
  <c r="F915" i="2"/>
  <c r="E915" i="2"/>
  <c r="E743" i="2"/>
  <c r="F743" i="2"/>
  <c r="E246" i="2"/>
  <c r="F246" i="2"/>
  <c r="F259" i="2"/>
  <c r="E259" i="2"/>
  <c r="E298" i="2"/>
  <c r="F298" i="2"/>
  <c r="F567" i="2"/>
  <c r="E567" i="2"/>
  <c r="F156" i="2"/>
  <c r="E156" i="2"/>
  <c r="F58" i="2"/>
  <c r="E58" i="2"/>
  <c r="E254" i="2"/>
  <c r="F254" i="2"/>
  <c r="F460" i="2"/>
  <c r="E460" i="2"/>
  <c r="F239" i="2"/>
  <c r="E239" i="2"/>
  <c r="F267" i="2"/>
  <c r="E267" i="2"/>
  <c r="F159" i="2"/>
  <c r="E159" i="2"/>
  <c r="E158" i="2"/>
  <c r="F158" i="2"/>
  <c r="F936" i="2"/>
  <c r="E936" i="2"/>
  <c r="F764" i="2"/>
  <c r="E764" i="2"/>
  <c r="F935" i="2"/>
  <c r="E935" i="2"/>
  <c r="E481" i="2"/>
  <c r="F481" i="2"/>
  <c r="F702" i="2"/>
  <c r="E702" i="2"/>
  <c r="F882" i="2"/>
  <c r="E882" i="2"/>
  <c r="E869" i="2"/>
  <c r="F869" i="2"/>
  <c r="E338" i="2"/>
  <c r="F338" i="2"/>
  <c r="E647" i="2"/>
  <c r="F647" i="2"/>
  <c r="E325" i="2"/>
  <c r="F325" i="2"/>
  <c r="E187" i="2"/>
  <c r="F187" i="2"/>
  <c r="F94" i="2"/>
  <c r="E94" i="2"/>
  <c r="F690" i="2"/>
  <c r="E690" i="2"/>
  <c r="F941" i="2"/>
  <c r="E941" i="2"/>
  <c r="E368" i="2"/>
  <c r="F368" i="2"/>
  <c r="E673" i="2"/>
  <c r="F673" i="2"/>
  <c r="E109" i="2"/>
  <c r="F109" i="2"/>
  <c r="F840" i="2"/>
  <c r="E840" i="2"/>
  <c r="F888" i="2"/>
  <c r="E888" i="2"/>
  <c r="F608" i="2"/>
  <c r="E608" i="2"/>
  <c r="E507" i="2"/>
  <c r="F507" i="2"/>
  <c r="E469" i="2"/>
  <c r="F469" i="2"/>
  <c r="F940" i="2"/>
  <c r="E940" i="2"/>
  <c r="E95" i="2"/>
  <c r="F95" i="2"/>
  <c r="E354" i="2"/>
  <c r="F354" i="2"/>
  <c r="E147" i="2"/>
  <c r="F147" i="2"/>
  <c r="E390" i="2"/>
  <c r="F390" i="2"/>
  <c r="F435" i="2"/>
  <c r="E435" i="2"/>
  <c r="F330" i="2"/>
  <c r="E330" i="2"/>
  <c r="E12" i="2"/>
  <c r="F12" i="2"/>
  <c r="E208" i="2"/>
  <c r="F208" i="2"/>
  <c r="F349" i="2"/>
  <c r="E349" i="2"/>
  <c r="F895" i="2"/>
  <c r="E895" i="2"/>
  <c r="F917" i="2"/>
  <c r="E917" i="2"/>
  <c r="F637" i="2"/>
  <c r="E637" i="2"/>
  <c r="E256" i="2"/>
  <c r="F256" i="2"/>
  <c r="E502" i="2"/>
  <c r="F502" i="2"/>
  <c r="F783" i="2"/>
  <c r="E783" i="2"/>
  <c r="E107" i="2"/>
  <c r="F107" i="2"/>
  <c r="F472" i="2"/>
  <c r="E472" i="2"/>
  <c r="F442" i="2"/>
  <c r="E442" i="2"/>
  <c r="E218" i="2"/>
  <c r="F218" i="2"/>
  <c r="E730" i="2"/>
  <c r="F730" i="2"/>
  <c r="E746" i="2"/>
  <c r="F746" i="2"/>
  <c r="E980" i="2"/>
  <c r="F980" i="2"/>
  <c r="F646" i="2"/>
  <c r="E646" i="2"/>
  <c r="F642" i="2"/>
  <c r="E642" i="2"/>
  <c r="F862" i="2"/>
  <c r="E862" i="2"/>
  <c r="F253" i="2"/>
  <c r="E253" i="2"/>
  <c r="E948" i="2"/>
  <c r="F948" i="2"/>
  <c r="F837" i="2"/>
  <c r="E837" i="2"/>
  <c r="F305" i="2"/>
  <c r="E305" i="2"/>
  <c r="E741" i="2"/>
  <c r="F741" i="2"/>
  <c r="F822" i="2"/>
  <c r="E822" i="2"/>
  <c r="E281" i="2"/>
  <c r="F281" i="2"/>
  <c r="F810" i="2"/>
  <c r="E810" i="2"/>
  <c r="F731" i="2"/>
  <c r="E731" i="2"/>
  <c r="F100" i="2"/>
  <c r="E100" i="2"/>
  <c r="F974" i="2"/>
  <c r="E974" i="2"/>
  <c r="E450" i="2"/>
  <c r="F450" i="2"/>
  <c r="E366" i="2"/>
  <c r="F366" i="2"/>
  <c r="F444" i="2"/>
  <c r="E444" i="2"/>
  <c r="F89" i="2"/>
  <c r="E89" i="2"/>
  <c r="F765" i="2"/>
  <c r="E765" i="2"/>
  <c r="E192" i="2"/>
  <c r="F192" i="2"/>
  <c r="E929" i="2"/>
  <c r="F929" i="2"/>
  <c r="F148" i="2"/>
  <c r="E148" i="2"/>
  <c r="F71" i="2"/>
  <c r="E71" i="2"/>
  <c r="F321" i="2"/>
  <c r="E321" i="2"/>
  <c r="E178" i="2"/>
  <c r="F178" i="2"/>
  <c r="E752" i="2"/>
  <c r="F752" i="2"/>
  <c r="E498" i="2"/>
  <c r="F498" i="2"/>
  <c r="F674" i="2"/>
  <c r="E674" i="2"/>
  <c r="F344" i="2"/>
  <c r="E344" i="2"/>
  <c r="F539" i="2"/>
  <c r="E539" i="2"/>
  <c r="F356" i="2"/>
  <c r="E356" i="2"/>
  <c r="E75" i="2"/>
  <c r="F75" i="2"/>
  <c r="E957" i="2"/>
  <c r="F957" i="2"/>
  <c r="F789" i="2"/>
  <c r="E789" i="2"/>
  <c r="E39" i="2"/>
  <c r="F39" i="2"/>
  <c r="E710" i="2"/>
  <c r="F710" i="2"/>
  <c r="E36" i="2"/>
  <c r="F36" i="2"/>
  <c r="E885" i="2"/>
  <c r="F885" i="2"/>
  <c r="F433" i="2"/>
  <c r="E433" i="2"/>
  <c r="E136" i="2"/>
  <c r="F136" i="2"/>
  <c r="F834" i="2"/>
  <c r="E834" i="2"/>
  <c r="E835" i="2"/>
  <c r="F835" i="2"/>
  <c r="F681" i="2"/>
  <c r="E681" i="2"/>
  <c r="E480" i="2"/>
  <c r="F480" i="2"/>
  <c r="F932" i="2"/>
  <c r="E932" i="2"/>
  <c r="E956" i="2"/>
  <c r="F956" i="2"/>
  <c r="E499" i="2"/>
  <c r="F499" i="2"/>
  <c r="F791" i="2"/>
  <c r="E791" i="2"/>
  <c r="F893" i="2"/>
  <c r="E893" i="2"/>
  <c r="F756" i="2"/>
  <c r="E756" i="2"/>
  <c r="F307" i="2"/>
  <c r="E307" i="2"/>
  <c r="F139" i="2"/>
  <c r="E139" i="2"/>
  <c r="E711" i="2"/>
  <c r="F711" i="2"/>
  <c r="F522" i="2"/>
  <c r="E522" i="2"/>
  <c r="E943" i="2"/>
  <c r="F943" i="2"/>
  <c r="F266" i="2"/>
  <c r="E266" i="2"/>
  <c r="F804" i="2"/>
  <c r="E804" i="2"/>
  <c r="F84" i="2"/>
  <c r="E84" i="2"/>
  <c r="E887" i="2"/>
  <c r="F887" i="2"/>
  <c r="F490" i="2"/>
  <c r="E490" i="2"/>
  <c r="F521" i="2"/>
  <c r="E521" i="2"/>
  <c r="E78" i="2"/>
  <c r="F78" i="2"/>
  <c r="F220" i="2"/>
  <c r="E220" i="2"/>
  <c r="F707" i="2"/>
  <c r="E707" i="2"/>
  <c r="E337" i="2"/>
  <c r="F337" i="2"/>
  <c r="E154" i="2"/>
  <c r="F154" i="2"/>
  <c r="E144" i="2"/>
  <c r="F144" i="2"/>
  <c r="E692" i="2"/>
  <c r="F692" i="2"/>
  <c r="E23" i="2"/>
  <c r="F23" i="2"/>
  <c r="F448" i="2"/>
  <c r="E448" i="2"/>
  <c r="F483" i="2"/>
  <c r="E483" i="2"/>
  <c r="F62" i="2"/>
  <c r="E62" i="2"/>
  <c r="F638" i="2"/>
  <c r="E638" i="2"/>
  <c r="E809" i="2"/>
  <c r="F809" i="2"/>
  <c r="E662" i="2"/>
  <c r="F662" i="2"/>
  <c r="E868" i="2"/>
  <c r="F868" i="2"/>
  <c r="F697" i="2"/>
  <c r="E697" i="2"/>
  <c r="E189" i="2"/>
  <c r="F189" i="2"/>
  <c r="E585" i="2"/>
  <c r="F585" i="2"/>
  <c r="E630" i="2"/>
  <c r="F630" i="2"/>
  <c r="E182" i="2"/>
  <c r="F182" i="2"/>
  <c r="F757" i="2"/>
  <c r="E757" i="2"/>
  <c r="F150" i="2"/>
  <c r="E150" i="2"/>
  <c r="F118" i="2"/>
  <c r="E118" i="2"/>
  <c r="F998" i="2"/>
  <c r="E998" i="2"/>
  <c r="F855" i="2"/>
  <c r="E855" i="2"/>
  <c r="F693" i="2"/>
  <c r="E693" i="2"/>
  <c r="F399" i="2"/>
  <c r="E399" i="2"/>
  <c r="E384" i="2"/>
  <c r="F384" i="2"/>
  <c r="F687" i="2"/>
  <c r="E687" i="2"/>
  <c r="F17" i="2"/>
  <c r="E17" i="2"/>
  <c r="F773" i="2"/>
  <c r="E773" i="2"/>
  <c r="E875" i="2"/>
  <c r="F875" i="2"/>
  <c r="F890" i="2"/>
  <c r="E890" i="2"/>
  <c r="E955" i="2"/>
  <c r="F955" i="2"/>
  <c r="E123" i="2"/>
  <c r="F123" i="2"/>
  <c r="E704" i="2"/>
  <c r="F704" i="2"/>
  <c r="F405" i="2"/>
  <c r="E405" i="2"/>
  <c r="F257" i="2"/>
  <c r="E257" i="2"/>
  <c r="F524" i="2"/>
  <c r="E524" i="2"/>
  <c r="E224" i="2"/>
  <c r="F224" i="2"/>
  <c r="F155" i="2"/>
  <c r="E155" i="2"/>
  <c r="F972" i="2"/>
  <c r="E972" i="2"/>
  <c r="E591" i="2"/>
  <c r="F591" i="2"/>
  <c r="E745" i="2"/>
  <c r="F745" i="2"/>
  <c r="E910" i="2"/>
  <c r="F910" i="2"/>
  <c r="E615" i="2"/>
  <c r="F615" i="2"/>
  <c r="E400" i="2"/>
  <c r="F400" i="2"/>
  <c r="E271" i="2"/>
  <c r="F271" i="2"/>
  <c r="F644" i="2"/>
  <c r="E644" i="2"/>
  <c r="F488" i="2"/>
  <c r="E488" i="2"/>
  <c r="E788" i="2"/>
  <c r="F788" i="2"/>
  <c r="F269" i="2"/>
  <c r="E269" i="2"/>
  <c r="F168" i="2"/>
  <c r="E168" i="2"/>
  <c r="E352" i="2"/>
  <c r="F352" i="2"/>
  <c r="F513" i="2"/>
  <c r="E513" i="2"/>
  <c r="E117" i="2"/>
  <c r="F117" i="2"/>
  <c r="F797" i="2"/>
  <c r="E797" i="2"/>
  <c r="E661" i="2"/>
  <c r="F661" i="2"/>
  <c r="E451" i="2"/>
  <c r="F451" i="2"/>
  <c r="E970" i="2"/>
  <c r="F970" i="2"/>
  <c r="F416" i="2"/>
  <c r="E416" i="2"/>
  <c r="F130" i="2"/>
  <c r="E130" i="2"/>
  <c r="F553" i="2"/>
  <c r="E553" i="2"/>
  <c r="F183" i="2"/>
  <c r="E183" i="2"/>
  <c r="E34" i="2"/>
  <c r="F34" i="2"/>
  <c r="F1002" i="2"/>
  <c r="E1002" i="2"/>
  <c r="F813" i="2"/>
  <c r="E813" i="2"/>
  <c r="F412" i="2"/>
  <c r="E412" i="2"/>
  <c r="E802" i="2"/>
  <c r="F802" i="2"/>
  <c r="E268" i="2"/>
  <c r="F268" i="2"/>
  <c r="F116" i="2"/>
  <c r="E116" i="2"/>
  <c r="E258" i="2"/>
  <c r="F258" i="2"/>
  <c r="E549" i="2"/>
  <c r="F549" i="2"/>
  <c r="E485" i="2"/>
  <c r="F485" i="2"/>
  <c r="F836" i="2"/>
  <c r="E836" i="2"/>
  <c r="E367" i="2"/>
  <c r="F367" i="2"/>
  <c r="F753" i="2"/>
  <c r="E753" i="2"/>
  <c r="E863" i="2"/>
  <c r="F863" i="2"/>
  <c r="E572" i="2"/>
  <c r="F572" i="2"/>
  <c r="F655" i="2"/>
  <c r="E655" i="2"/>
  <c r="E698" i="2"/>
  <c r="F698" i="2"/>
  <c r="E827" i="2"/>
  <c r="F827" i="2"/>
  <c r="E552" i="2"/>
  <c r="F552" i="2"/>
  <c r="F110" i="2"/>
  <c r="E110" i="2"/>
  <c r="E534" i="2"/>
  <c r="F534" i="2"/>
  <c r="E816" i="2"/>
  <c r="F816" i="2"/>
  <c r="E723" i="2"/>
  <c r="F723" i="2"/>
  <c r="E494" i="2"/>
  <c r="F494" i="2"/>
  <c r="F658" i="2"/>
  <c r="E658" i="2"/>
  <c r="E369" i="2"/>
  <c r="F369" i="2"/>
  <c r="F101" i="2"/>
  <c r="E101" i="2"/>
  <c r="E969" i="2"/>
  <c r="F969" i="2"/>
  <c r="F277" i="2"/>
  <c r="E277" i="2"/>
  <c r="F374" i="2"/>
  <c r="E374" i="2"/>
  <c r="F314" i="2"/>
  <c r="E314" i="2"/>
  <c r="E185" i="2"/>
  <c r="F185" i="2"/>
  <c r="E31" i="2"/>
  <c r="F31" i="2"/>
  <c r="E803" i="2"/>
  <c r="F803" i="2"/>
  <c r="F42" i="2"/>
  <c r="E42" i="2"/>
  <c r="F537" i="2"/>
  <c r="E537" i="2"/>
  <c r="F432" i="2"/>
  <c r="E432" i="2"/>
  <c r="F26" i="2"/>
  <c r="E26" i="2"/>
  <c r="E324" i="2"/>
  <c r="F324" i="2"/>
  <c r="E541" i="2"/>
  <c r="F541" i="2"/>
  <c r="F449" i="2"/>
  <c r="E449" i="2"/>
  <c r="F734" i="2"/>
  <c r="E734" i="2"/>
  <c r="E914" i="2"/>
  <c r="F914" i="2"/>
  <c r="F913" i="2"/>
  <c r="E913" i="2"/>
  <c r="E598" i="2"/>
  <c r="F598" i="2"/>
  <c r="E981" i="2"/>
  <c r="F981" i="2"/>
  <c r="F568" i="2"/>
  <c r="E568" i="2"/>
  <c r="F695" i="2"/>
  <c r="E695" i="2"/>
  <c r="F377" i="2"/>
  <c r="E377" i="2"/>
  <c r="E372" i="2"/>
  <c r="F372" i="2"/>
  <c r="F651" i="2"/>
  <c r="E651" i="2"/>
  <c r="E645" i="2"/>
  <c r="F645" i="2"/>
  <c r="F230" i="2"/>
  <c r="E230" i="2"/>
  <c r="E748" i="2"/>
  <c r="F748" i="2"/>
  <c r="F149" i="2"/>
  <c r="E149" i="2"/>
  <c r="E616" i="2"/>
  <c r="F616" i="2"/>
  <c r="E801" i="2"/>
  <c r="F801" i="2"/>
  <c r="F37" i="2"/>
  <c r="E37" i="2"/>
  <c r="F945" i="2"/>
  <c r="E945" i="2"/>
  <c r="F997" i="2"/>
  <c r="E997" i="2"/>
  <c r="E512" i="2"/>
  <c r="F512" i="2"/>
  <c r="F873" i="2"/>
  <c r="E873" i="2"/>
  <c r="F584" i="2"/>
  <c r="E584" i="2"/>
  <c r="E627" i="2"/>
  <c r="F627" i="2"/>
  <c r="E736" i="2"/>
  <c r="F736" i="2"/>
  <c r="E623" i="2"/>
  <c r="F623" i="2"/>
  <c r="E648" i="2"/>
  <c r="F648" i="2"/>
  <c r="E897" i="2"/>
  <c r="F897" i="2"/>
  <c r="E564" i="2"/>
  <c r="F564" i="2"/>
  <c r="E466" i="2"/>
  <c r="F466" i="2"/>
  <c r="F41" i="2"/>
  <c r="E41" i="2"/>
  <c r="E733" i="2"/>
  <c r="F733" i="2"/>
  <c r="E313" i="2"/>
  <c r="F313" i="2"/>
  <c r="E859" i="2"/>
  <c r="F859" i="2"/>
  <c r="F60" i="2"/>
  <c r="E60" i="2"/>
  <c r="E916" i="2"/>
  <c r="F916" i="2"/>
  <c r="E938" i="2"/>
  <c r="F938" i="2"/>
  <c r="F996" i="2"/>
  <c r="E996" i="2"/>
  <c r="F740" i="2"/>
  <c r="E740" i="2"/>
  <c r="F829" i="2"/>
  <c r="E829" i="2"/>
  <c r="E468" i="2"/>
  <c r="F468" i="2"/>
  <c r="E839" i="2"/>
  <c r="F839" i="2"/>
  <c r="E125" i="2"/>
  <c r="F125" i="2"/>
  <c r="F831" i="2"/>
  <c r="E831" i="2"/>
  <c r="F878" i="2"/>
  <c r="E878" i="2"/>
  <c r="E961" i="2"/>
  <c r="F961" i="2"/>
  <c r="F994" i="2"/>
  <c r="E994" i="2"/>
  <c r="E973" i="2"/>
  <c r="F973" i="2"/>
  <c r="F294" i="2"/>
  <c r="E294" i="2"/>
  <c r="E16" i="2"/>
  <c r="F16" i="2"/>
  <c r="F419" i="2"/>
  <c r="E419" i="2"/>
  <c r="F879" i="2"/>
  <c r="E879" i="2"/>
  <c r="E166" i="2"/>
  <c r="F166" i="2"/>
  <c r="F171" i="2"/>
  <c r="E171" i="2"/>
  <c r="E343" i="2"/>
  <c r="F343" i="2"/>
  <c r="E245" i="2"/>
  <c r="F245" i="2"/>
  <c r="E643" i="2"/>
  <c r="F643" i="2"/>
  <c r="E86" i="2"/>
  <c r="F86" i="2"/>
  <c r="E99" i="2"/>
  <c r="F99" i="2"/>
  <c r="F604" i="2"/>
  <c r="E604" i="2"/>
  <c r="F111" i="2"/>
  <c r="E111" i="2"/>
  <c r="F69" i="2"/>
  <c r="E69" i="2"/>
  <c r="F744" i="2"/>
  <c r="E744" i="2"/>
  <c r="F800" i="2"/>
  <c r="E800" i="2"/>
  <c r="F853" i="2"/>
  <c r="E853" i="2"/>
  <c r="E318" i="2"/>
  <c r="F318" i="2"/>
  <c r="F1001" i="2"/>
  <c r="E1001" i="2"/>
  <c r="E685" i="2"/>
  <c r="F685" i="2"/>
  <c r="E908" i="2"/>
  <c r="F908" i="2"/>
  <c r="E446" i="2"/>
  <c r="F446" i="2"/>
  <c r="E964" i="2"/>
  <c r="F964" i="2"/>
  <c r="F373" i="2"/>
  <c r="E373" i="2"/>
  <c r="F350" i="2"/>
  <c r="E350" i="2"/>
  <c r="E280" i="2"/>
  <c r="F280" i="2"/>
  <c r="E515" i="2"/>
  <c r="F515" i="2"/>
  <c r="F492" i="2"/>
  <c r="E492" i="2"/>
  <c r="F30" i="2"/>
  <c r="E30" i="2"/>
  <c r="E622" i="2"/>
  <c r="F622" i="2"/>
  <c r="F597" i="2"/>
  <c r="E597" i="2"/>
  <c r="E457" i="2"/>
  <c r="F457" i="2"/>
  <c r="F632" i="2"/>
  <c r="E632" i="2"/>
  <c r="F976" i="2"/>
  <c r="E976" i="2"/>
  <c r="E21" i="2"/>
  <c r="F21" i="2"/>
  <c r="F677" i="2"/>
  <c r="E677" i="2"/>
  <c r="F867" i="2"/>
  <c r="E867" i="2"/>
  <c r="F714" i="2"/>
  <c r="E714" i="2"/>
  <c r="E786" i="2"/>
  <c r="F786" i="2"/>
  <c r="E739" i="2"/>
  <c r="F739" i="2"/>
  <c r="E985" i="2"/>
  <c r="F985" i="2"/>
  <c r="F320" i="2"/>
  <c r="E320" i="2"/>
  <c r="E844" i="2"/>
  <c r="F844" i="2"/>
  <c r="E48" i="2"/>
  <c r="F48" i="2"/>
  <c r="F50" i="2"/>
  <c r="E50" i="2"/>
  <c r="E476" i="2"/>
  <c r="F476" i="2"/>
  <c r="F923" i="2"/>
  <c r="E923" i="2"/>
  <c r="E949" i="2"/>
  <c r="F949" i="2"/>
  <c r="F387" i="2"/>
  <c r="E387" i="2"/>
  <c r="E796" i="2"/>
  <c r="F796" i="2"/>
  <c r="F876" i="2"/>
  <c r="E876" i="2"/>
  <c r="E346" i="2"/>
  <c r="F346" i="2"/>
  <c r="E694" i="2"/>
  <c r="F694" i="2"/>
  <c r="F905" i="2"/>
  <c r="E905" i="2"/>
  <c r="E725" i="2"/>
  <c r="F725" i="2"/>
  <c r="E605" i="2"/>
  <c r="F605" i="2"/>
  <c r="E365" i="2"/>
  <c r="F365" i="2"/>
  <c r="F947" i="2"/>
  <c r="E947" i="2"/>
  <c r="F907" i="2"/>
  <c r="E907" i="2"/>
  <c r="F760" i="2"/>
  <c r="E760" i="2"/>
  <c r="F717" i="2"/>
  <c r="E717" i="2"/>
  <c r="F807" i="2"/>
  <c r="E807" i="2"/>
  <c r="F933" i="2"/>
  <c r="E933" i="2"/>
  <c r="F406" i="2"/>
  <c r="E406" i="2"/>
  <c r="F719" i="2"/>
  <c r="E719" i="2"/>
  <c r="F619" i="2"/>
  <c r="E619" i="2"/>
  <c r="F141" i="2"/>
  <c r="E141" i="2"/>
  <c r="E571" i="2"/>
  <c r="F571" i="2"/>
  <c r="E420" i="2"/>
  <c r="F420" i="2"/>
  <c r="E424" i="2"/>
  <c r="F424" i="2"/>
  <c r="E516" i="2"/>
  <c r="F516" i="2"/>
  <c r="E993" i="2"/>
  <c r="F993" i="2"/>
  <c r="F759" i="2"/>
  <c r="E759" i="2"/>
  <c r="F769" i="2"/>
  <c r="E769" i="2"/>
  <c r="F97" i="2"/>
  <c r="E97" i="2"/>
  <c r="F982" i="2"/>
  <c r="E982" i="2"/>
  <c r="F523" i="2"/>
  <c r="E523" i="2"/>
  <c r="F49" i="2"/>
  <c r="E49" i="2"/>
  <c r="E452" i="2"/>
  <c r="F452" i="2"/>
  <c r="F930" i="2"/>
  <c r="E930" i="2"/>
  <c r="F909" i="2"/>
  <c r="E909" i="2"/>
  <c r="E329" i="2"/>
  <c r="F329" i="2"/>
  <c r="E672" i="2"/>
  <c r="F672" i="2"/>
  <c r="F204" i="2"/>
  <c r="E204" i="2"/>
  <c r="F574" i="2"/>
  <c r="E574" i="2"/>
  <c r="F236" i="2"/>
  <c r="E236" i="2"/>
  <c r="B10" i="1"/>
  <c r="B10" i="3"/>
  <c r="D10" i="1"/>
  <c r="C10" i="1"/>
  <c r="C10" i="3"/>
  <c r="E10" i="1"/>
  <c r="B11" i="1" l="1"/>
  <c r="B11" i="3"/>
  <c r="C11" i="1"/>
  <c r="C11" i="3"/>
  <c r="D11" i="1"/>
  <c r="E11" i="1"/>
  <c r="B12" i="1" l="1"/>
  <c r="B12" i="3"/>
  <c r="E12" i="1"/>
  <c r="C12" i="1"/>
  <c r="C12" i="3"/>
  <c r="D12" i="1"/>
  <c r="B13" i="1" l="1"/>
  <c r="B13" i="3"/>
  <c r="C13" i="3"/>
  <c r="D13" i="1"/>
  <c r="C13" i="1"/>
  <c r="E13" i="1"/>
  <c r="B14" i="1" l="1"/>
  <c r="B14" i="3"/>
  <c r="D14" i="1"/>
  <c r="E14" i="1"/>
  <c r="C14" i="3"/>
  <c r="C14" i="1"/>
  <c r="B15" i="1" l="1"/>
  <c r="B15" i="3"/>
  <c r="E15" i="1"/>
  <c r="C15" i="3"/>
  <c r="C15" i="1"/>
  <c r="D15" i="1"/>
  <c r="B16" i="1" l="1"/>
  <c r="B16" i="3"/>
  <c r="E16" i="1"/>
  <c r="D16" i="1"/>
  <c r="C16" i="1"/>
  <c r="C16" i="3"/>
  <c r="B17" i="1" l="1"/>
  <c r="B17" i="3"/>
  <c r="D17" i="1"/>
  <c r="C17" i="1"/>
  <c r="C17" i="3"/>
  <c r="E17" i="1"/>
  <c r="B18" i="1" l="1"/>
  <c r="B18" i="3"/>
  <c r="C18" i="3"/>
  <c r="D18" i="1"/>
  <c r="E18" i="1"/>
  <c r="C18" i="1"/>
  <c r="B19" i="1" l="1"/>
  <c r="B19" i="3"/>
  <c r="C19" i="1"/>
  <c r="C19" i="3"/>
  <c r="E19" i="1"/>
  <c r="D19" i="1"/>
  <c r="B20" i="1" l="1"/>
  <c r="B20" i="3"/>
  <c r="C20" i="3"/>
  <c r="D20" i="1"/>
  <c r="E20" i="1"/>
  <c r="C20" i="1"/>
  <c r="B21" i="1" l="1"/>
  <c r="B21" i="3"/>
  <c r="D21" i="1"/>
  <c r="E21" i="1"/>
  <c r="C21" i="1"/>
  <c r="C21" i="3"/>
  <c r="B22" i="1" l="1"/>
  <c r="B22" i="3"/>
  <c r="C22" i="1"/>
  <c r="C22" i="3"/>
  <c r="E22" i="1"/>
  <c r="D22" i="1"/>
  <c r="B23" i="1" l="1"/>
  <c r="B23" i="3"/>
  <c r="D23" i="1"/>
  <c r="C23" i="1"/>
  <c r="C23" i="3"/>
  <c r="E23" i="1"/>
  <c r="B24" i="1" l="1"/>
  <c r="B24" i="3"/>
  <c r="C24" i="3"/>
  <c r="D24" i="1"/>
  <c r="E24" i="1"/>
  <c r="C24" i="1"/>
  <c r="B25" i="1" l="1"/>
  <c r="B25" i="3"/>
  <c r="D25" i="1"/>
  <c r="C25" i="3"/>
  <c r="C25" i="1"/>
  <c r="E25" i="1"/>
  <c r="B26" i="1" l="1"/>
  <c r="B26" i="3"/>
  <c r="C26" i="1"/>
  <c r="C26" i="3"/>
  <c r="D26" i="1"/>
  <c r="E26" i="1"/>
  <c r="B27" i="1" l="1"/>
  <c r="B27" i="3"/>
  <c r="C27" i="1"/>
  <c r="D27" i="1"/>
  <c r="E27" i="1"/>
  <c r="C27" i="3"/>
  <c r="B28" i="1" l="1"/>
  <c r="B28" i="3"/>
  <c r="E28" i="1"/>
  <c r="C28" i="1"/>
  <c r="D28" i="1"/>
  <c r="C28" i="3"/>
  <c r="B29" i="1" l="1"/>
  <c r="B29" i="3"/>
  <c r="C29" i="3"/>
  <c r="E29" i="1"/>
  <c r="D29" i="1"/>
  <c r="C29" i="1"/>
  <c r="B30" i="1" l="1"/>
  <c r="B30" i="3"/>
  <c r="C30" i="1"/>
  <c r="C30" i="3"/>
  <c r="E30" i="1"/>
  <c r="D30" i="1"/>
  <c r="B31" i="1" l="1"/>
  <c r="B31" i="3"/>
  <c r="E31" i="1"/>
  <c r="C31" i="3"/>
  <c r="C31" i="1"/>
  <c r="D31" i="1"/>
  <c r="B32" i="1" l="1"/>
  <c r="B32" i="3"/>
  <c r="E32" i="1"/>
  <c r="C32" i="1"/>
  <c r="C32" i="3"/>
  <c r="D32" i="1"/>
  <c r="B33" i="1" l="1"/>
  <c r="B33" i="3"/>
  <c r="C33" i="3"/>
  <c r="D33" i="1"/>
  <c r="E33" i="1"/>
  <c r="C33" i="1"/>
  <c r="B34" i="1" l="1"/>
  <c r="B34" i="3"/>
  <c r="C34" i="3"/>
  <c r="C34" i="1"/>
  <c r="D34" i="1"/>
  <c r="E34" i="1"/>
  <c r="B35" i="1" l="1"/>
  <c r="B35" i="3"/>
  <c r="C35" i="3"/>
  <c r="C35" i="1"/>
  <c r="D35" i="1"/>
  <c r="E35" i="1"/>
  <c r="B36" i="1" l="1"/>
  <c r="B36" i="3"/>
  <c r="D36" i="1"/>
  <c r="E36" i="1"/>
  <c r="C36" i="1"/>
  <c r="C36" i="3"/>
  <c r="B37" i="1" l="1"/>
  <c r="B37" i="3"/>
  <c r="C37" i="1"/>
  <c r="C37" i="3"/>
  <c r="D37" i="1"/>
  <c r="E37" i="1"/>
  <c r="B38" i="1" l="1"/>
  <c r="B38" i="3"/>
  <c r="E38" i="1"/>
  <c r="D38" i="1"/>
  <c r="C38" i="3"/>
  <c r="C38" i="1"/>
  <c r="B39" i="1" l="1"/>
  <c r="B39" i="3"/>
  <c r="E39" i="1"/>
  <c r="C39" i="1"/>
  <c r="C39" i="3"/>
  <c r="D39" i="1"/>
  <c r="B40" i="1" l="1"/>
  <c r="B40" i="3"/>
  <c r="E40" i="1"/>
  <c r="C40" i="3"/>
  <c r="D40" i="1"/>
  <c r="C40" i="1"/>
  <c r="B41" i="1" l="1"/>
  <c r="B41" i="3"/>
  <c r="C41" i="1"/>
  <c r="E41" i="1"/>
  <c r="C41" i="3"/>
  <c r="D41" i="1"/>
  <c r="B42" i="1" l="1"/>
  <c r="B42" i="3"/>
  <c r="E42" i="1"/>
  <c r="D42" i="1"/>
  <c r="C42" i="1"/>
  <c r="C42" i="3"/>
  <c r="B43" i="1" l="1"/>
  <c r="B43" i="3"/>
  <c r="E43" i="1"/>
  <c r="C43" i="3"/>
  <c r="D43" i="1"/>
  <c r="C43" i="1"/>
  <c r="B44" i="1" l="1"/>
  <c r="B44" i="3"/>
  <c r="D44" i="1"/>
  <c r="E44" i="1"/>
  <c r="C44" i="3"/>
  <c r="C44" i="1"/>
  <c r="B45" i="1" l="1"/>
  <c r="D45" i="1"/>
  <c r="E45" i="1"/>
  <c r="C45" i="1"/>
  <c r="B46" i="1" l="1"/>
  <c r="D46" i="1"/>
  <c r="C46" i="1"/>
  <c r="E46" i="1"/>
  <c r="B47" i="1" l="1"/>
  <c r="D47" i="1"/>
  <c r="E47" i="1"/>
  <c r="C47" i="1"/>
  <c r="B48" i="1" l="1"/>
  <c r="C48" i="1"/>
  <c r="E48" i="1"/>
  <c r="D48" i="1"/>
  <c r="B49" i="1" l="1"/>
  <c r="C49" i="1"/>
  <c r="D49" i="1"/>
  <c r="E49" i="1"/>
  <c r="B50" i="1" l="1"/>
  <c r="C50" i="1"/>
  <c r="E50" i="1"/>
  <c r="D50" i="1"/>
  <c r="B51" i="1" l="1"/>
  <c r="C51" i="1"/>
  <c r="E51" i="1"/>
  <c r="D51" i="1"/>
  <c r="B52" i="1" l="1"/>
  <c r="E52" i="1"/>
  <c r="D52" i="1"/>
  <c r="C52" i="1"/>
  <c r="B53" i="1" l="1"/>
  <c r="C53" i="1"/>
  <c r="D53" i="1"/>
  <c r="E53" i="1"/>
  <c r="B54" i="1" l="1"/>
  <c r="C54" i="1"/>
  <c r="D54" i="1"/>
  <c r="E54" i="1"/>
  <c r="B55" i="1" l="1"/>
  <c r="D55" i="1"/>
  <c r="E55" i="1"/>
  <c r="C55" i="1"/>
  <c r="B56" i="1" l="1"/>
  <c r="E56" i="1"/>
  <c r="C56" i="1"/>
  <c r="D56" i="1"/>
  <c r="B57" i="1" l="1"/>
  <c r="C57" i="1"/>
  <c r="D57" i="1"/>
  <c r="E57" i="1"/>
  <c r="B58" i="1" l="1"/>
  <c r="D58" i="1"/>
  <c r="C58" i="1"/>
  <c r="E58" i="1"/>
  <c r="B59" i="1" l="1"/>
  <c r="C59" i="1"/>
  <c r="D59" i="1"/>
  <c r="E59" i="1"/>
  <c r="B60" i="1" l="1"/>
  <c r="C60" i="1"/>
  <c r="D60" i="1"/>
  <c r="E60" i="1"/>
  <c r="B61" i="1" l="1"/>
  <c r="E61" i="1"/>
  <c r="D61" i="1"/>
  <c r="C61" i="1"/>
  <c r="B62" i="1" l="1"/>
  <c r="C62" i="1"/>
  <c r="E62" i="1"/>
  <c r="D62" i="1"/>
  <c r="B63" i="1" l="1"/>
  <c r="C63" i="1"/>
  <c r="D63" i="1"/>
  <c r="E63" i="1"/>
  <c r="B64" i="1" l="1"/>
  <c r="E64" i="1"/>
  <c r="D64" i="1"/>
  <c r="C64" i="1"/>
  <c r="B65" i="1" l="1"/>
  <c r="E65" i="1"/>
  <c r="C65" i="1"/>
  <c r="D65" i="1"/>
  <c r="B66" i="1" l="1"/>
  <c r="C66" i="1"/>
  <c r="D66" i="1"/>
  <c r="E66" i="1"/>
  <c r="B67" i="1" l="1"/>
  <c r="D67" i="1"/>
  <c r="E67" i="1"/>
  <c r="C67" i="1"/>
  <c r="B68" i="1" l="1"/>
  <c r="C68" i="1"/>
  <c r="E68" i="1"/>
  <c r="D68" i="1"/>
  <c r="B69" i="1" l="1"/>
  <c r="C69" i="1"/>
  <c r="D69" i="1"/>
  <c r="E69" i="1"/>
  <c r="B70" i="1" l="1"/>
  <c r="D70" i="1"/>
  <c r="E70" i="1"/>
  <c r="C70" i="1"/>
  <c r="B71" i="1" l="1"/>
  <c r="E71" i="1"/>
  <c r="D71" i="1"/>
  <c r="C71" i="1"/>
  <c r="B72" i="1" l="1"/>
  <c r="D72" i="1"/>
  <c r="C72" i="1"/>
  <c r="E72" i="1"/>
  <c r="B73" i="1" l="1"/>
  <c r="C73" i="1"/>
  <c r="E73" i="1"/>
  <c r="D73" i="1"/>
  <c r="B74" i="1" l="1"/>
  <c r="E74" i="1"/>
  <c r="C74" i="1"/>
  <c r="D74" i="1"/>
  <c r="B75" i="1" l="1"/>
  <c r="C75" i="1"/>
  <c r="E75" i="1"/>
  <c r="D75" i="1"/>
  <c r="B76" i="1" l="1"/>
  <c r="E76" i="1"/>
  <c r="C76" i="1"/>
  <c r="D76" i="1"/>
  <c r="B77" i="1" l="1"/>
  <c r="C77" i="1"/>
  <c r="E77" i="1"/>
  <c r="D77" i="1"/>
  <c r="B78" i="1" l="1"/>
  <c r="C78" i="1"/>
  <c r="E78" i="1"/>
  <c r="D78" i="1"/>
  <c r="B79" i="1" l="1"/>
  <c r="D79" i="1"/>
  <c r="C79" i="1"/>
  <c r="E79" i="1"/>
  <c r="B80" i="1" l="1"/>
  <c r="D80" i="1"/>
  <c r="E80" i="1"/>
  <c r="C80" i="1"/>
  <c r="B81" i="1" l="1"/>
  <c r="C81" i="1"/>
  <c r="E81" i="1"/>
  <c r="D81" i="1"/>
  <c r="B82" i="1" l="1"/>
  <c r="C82" i="1"/>
  <c r="E82" i="1"/>
  <c r="D82" i="1"/>
  <c r="B83" i="1" l="1"/>
  <c r="D83" i="1"/>
  <c r="E83" i="1"/>
  <c r="C83" i="1"/>
  <c r="B84" i="1" l="1"/>
  <c r="C84" i="1"/>
  <c r="D84" i="1"/>
  <c r="E84" i="1"/>
  <c r="B85" i="1" l="1"/>
  <c r="C85" i="1"/>
  <c r="E85" i="1"/>
  <c r="D85" i="1"/>
  <c r="B86" i="1" l="1"/>
  <c r="E86" i="1"/>
  <c r="C86" i="1"/>
  <c r="D86" i="1"/>
  <c r="B87" i="1" l="1"/>
  <c r="E87" i="1"/>
  <c r="C87" i="1"/>
  <c r="D87" i="1"/>
  <c r="B88" i="1" l="1"/>
  <c r="C88" i="1"/>
  <c r="E88" i="1"/>
  <c r="D88" i="1"/>
  <c r="B89" i="1" l="1"/>
  <c r="C89" i="1"/>
  <c r="E89" i="1"/>
  <c r="D89" i="1"/>
  <c r="B90" i="1" l="1"/>
  <c r="C90" i="1"/>
  <c r="E90" i="1"/>
  <c r="D90" i="1"/>
  <c r="B91" i="1" l="1"/>
  <c r="D91" i="1"/>
  <c r="C91" i="1"/>
  <c r="E91" i="1"/>
  <c r="B92" i="1" l="1"/>
  <c r="E92" i="1"/>
  <c r="C92" i="1"/>
  <c r="D92" i="1"/>
  <c r="B93" i="1" l="1"/>
  <c r="D93" i="1"/>
  <c r="E93" i="1"/>
  <c r="C93" i="1"/>
  <c r="B94" i="1" l="1"/>
  <c r="C94" i="1"/>
  <c r="D94" i="1"/>
  <c r="E94" i="1"/>
  <c r="B95" i="1" l="1"/>
  <c r="D95" i="1"/>
  <c r="C95" i="1"/>
  <c r="E95" i="1"/>
  <c r="B96" i="1" l="1"/>
  <c r="D96" i="1"/>
  <c r="E96" i="1"/>
  <c r="C96" i="1"/>
  <c r="B97" i="1" l="1"/>
  <c r="C97" i="1"/>
  <c r="D97" i="1"/>
  <c r="E97" i="1"/>
  <c r="B98" i="1" l="1"/>
  <c r="E98" i="1"/>
  <c r="C98" i="1"/>
  <c r="D98" i="1"/>
  <c r="B99" i="1" l="1"/>
  <c r="D99" i="1"/>
  <c r="E99" i="1"/>
  <c r="C99" i="1"/>
  <c r="B100" i="1" l="1"/>
  <c r="C100" i="1"/>
  <c r="D100" i="1"/>
  <c r="E100" i="1"/>
  <c r="B101" i="1" l="1"/>
  <c r="E101" i="1"/>
  <c r="C101" i="1"/>
  <c r="D101" i="1"/>
  <c r="B102" i="1" l="1"/>
  <c r="C102" i="1"/>
  <c r="E102" i="1"/>
  <c r="D102" i="1"/>
  <c r="B103" i="1" l="1"/>
  <c r="C103" i="1"/>
  <c r="D103" i="1"/>
  <c r="E103" i="1"/>
  <c r="B104" i="1" l="1"/>
  <c r="E104" i="1"/>
  <c r="D104" i="1"/>
  <c r="C104" i="1"/>
  <c r="B105" i="1" l="1"/>
  <c r="C105" i="1"/>
  <c r="D105" i="1"/>
  <c r="E105" i="1"/>
  <c r="B106" i="1" l="1"/>
  <c r="D106" i="1"/>
  <c r="C106" i="1"/>
  <c r="E106" i="1"/>
  <c r="B107" i="1" l="1"/>
  <c r="D107" i="1"/>
  <c r="C107" i="1"/>
  <c r="E107" i="1"/>
  <c r="B108" i="1" l="1"/>
  <c r="D108" i="1"/>
  <c r="C108" i="1"/>
  <c r="E108" i="1"/>
  <c r="B109" i="1" l="1"/>
  <c r="D109" i="1"/>
  <c r="C109" i="1"/>
  <c r="E109" i="1"/>
  <c r="B110" i="1" l="1"/>
  <c r="C110" i="1"/>
  <c r="D110" i="1"/>
  <c r="E110" i="1"/>
  <c r="B111" i="1" l="1"/>
  <c r="D111" i="1"/>
  <c r="E111" i="1"/>
  <c r="C111" i="1"/>
  <c r="B112" i="1" l="1"/>
  <c r="C112" i="1"/>
  <c r="D112" i="1"/>
  <c r="E112" i="1"/>
  <c r="B113" i="1" l="1"/>
  <c r="D113" i="1"/>
  <c r="E113" i="1"/>
  <c r="C113" i="1"/>
  <c r="B114" i="1" l="1"/>
  <c r="D114" i="1"/>
  <c r="E114" i="1"/>
  <c r="C114" i="1"/>
  <c r="B115" i="1" l="1"/>
  <c r="E115" i="1"/>
  <c r="C115" i="1"/>
  <c r="D115" i="1"/>
  <c r="B116" i="1" l="1"/>
  <c r="E116" i="1"/>
  <c r="D116" i="1"/>
  <c r="C116" i="1"/>
  <c r="B117" i="1" l="1"/>
  <c r="C117" i="1"/>
  <c r="D117" i="1"/>
  <c r="E117" i="1"/>
  <c r="B118" i="1" l="1"/>
  <c r="C118" i="1"/>
  <c r="E118" i="1"/>
  <c r="D118" i="1"/>
  <c r="B119" i="1" l="1"/>
  <c r="C119" i="1"/>
  <c r="D119" i="1"/>
  <c r="E119" i="1"/>
  <c r="B120" i="1" l="1"/>
  <c r="C120" i="1"/>
  <c r="D120" i="1"/>
  <c r="E120" i="1"/>
  <c r="B121" i="1" l="1"/>
  <c r="C121" i="1"/>
  <c r="E121" i="1"/>
  <c r="D121" i="1"/>
  <c r="B122" i="1" l="1"/>
  <c r="C122" i="1"/>
  <c r="E122" i="1"/>
  <c r="D122" i="1"/>
  <c r="B123" i="1" l="1"/>
  <c r="E123" i="1"/>
  <c r="D123" i="1"/>
  <c r="C123" i="1"/>
  <c r="B124" i="1" l="1"/>
  <c r="C124" i="1"/>
  <c r="D124" i="1"/>
  <c r="E124" i="1"/>
  <c r="B125" i="1" l="1"/>
  <c r="C125" i="1"/>
  <c r="D125" i="1"/>
  <c r="E125" i="1"/>
  <c r="B126" i="1" l="1"/>
  <c r="D126" i="1"/>
  <c r="E126" i="1"/>
  <c r="C126" i="1"/>
  <c r="B127" i="1" l="1"/>
  <c r="D127" i="1"/>
  <c r="E127" i="1"/>
  <c r="C127" i="1"/>
  <c r="B128" i="1" l="1"/>
  <c r="C128" i="1"/>
  <c r="E128" i="1"/>
  <c r="D128" i="1"/>
  <c r="B129" i="1" l="1"/>
  <c r="D129" i="1"/>
  <c r="E129" i="1"/>
  <c r="C129" i="1"/>
  <c r="B130" i="1" l="1"/>
  <c r="E130" i="1"/>
  <c r="C130" i="1"/>
  <c r="D130" i="1"/>
  <c r="B131" i="1" l="1"/>
  <c r="E131" i="1"/>
  <c r="C131" i="1"/>
  <c r="D131" i="1"/>
  <c r="B132" i="1" l="1"/>
  <c r="C132" i="1"/>
  <c r="D132" i="1"/>
  <c r="E132" i="1"/>
  <c r="B133" i="1" l="1"/>
  <c r="C133" i="1"/>
  <c r="E133" i="1"/>
  <c r="D133" i="1"/>
  <c r="B134" i="1" l="1"/>
  <c r="E134" i="1"/>
  <c r="D134" i="1"/>
  <c r="C134" i="1"/>
  <c r="B135" i="1" l="1"/>
  <c r="E135" i="1"/>
  <c r="C135" i="1"/>
  <c r="D135" i="1"/>
  <c r="B136" i="1" l="1"/>
  <c r="D136" i="1"/>
  <c r="C136" i="1"/>
  <c r="E136" i="1"/>
  <c r="B137" i="1" l="1"/>
  <c r="D137" i="1"/>
  <c r="E137" i="1"/>
  <c r="C137" i="1"/>
  <c r="B138" i="1" l="1"/>
  <c r="D138" i="1"/>
  <c r="E138" i="1"/>
  <c r="C138" i="1"/>
  <c r="B139" i="1" l="1"/>
  <c r="E139" i="1"/>
  <c r="C139" i="1"/>
  <c r="D139" i="1"/>
  <c r="B140" i="1" l="1"/>
  <c r="E140" i="1"/>
  <c r="D140" i="1"/>
  <c r="C140" i="1"/>
  <c r="B141" i="1" l="1"/>
  <c r="C141" i="1"/>
  <c r="D141" i="1"/>
  <c r="E141" i="1"/>
  <c r="B142" i="1" l="1"/>
  <c r="D142" i="1"/>
  <c r="E142" i="1"/>
  <c r="C142" i="1"/>
  <c r="B143" i="1" l="1"/>
  <c r="C143" i="1"/>
  <c r="D143" i="1"/>
  <c r="E143" i="1"/>
  <c r="B144" i="1" l="1"/>
  <c r="D144" i="1"/>
  <c r="C144" i="1"/>
  <c r="E144" i="1"/>
  <c r="B145" i="1" l="1"/>
  <c r="E145" i="1"/>
  <c r="D145" i="1"/>
  <c r="C145" i="1"/>
  <c r="B146" i="1" l="1"/>
  <c r="E146" i="1"/>
  <c r="D146" i="1"/>
  <c r="C146" i="1"/>
  <c r="B147" i="1" l="1"/>
  <c r="D147" i="1"/>
  <c r="E147" i="1"/>
  <c r="C147" i="1"/>
  <c r="B148" i="1" l="1"/>
  <c r="C148" i="1"/>
  <c r="D148" i="1"/>
  <c r="E148" i="1"/>
  <c r="B149" i="1" l="1"/>
  <c r="D149" i="1"/>
  <c r="C149" i="1"/>
  <c r="E149" i="1"/>
  <c r="B150" i="1" l="1"/>
  <c r="E150" i="1"/>
  <c r="D150" i="1"/>
  <c r="C150" i="1"/>
  <c r="B151" i="1" l="1"/>
  <c r="E151" i="1"/>
  <c r="C151" i="1"/>
  <c r="D151" i="1"/>
  <c r="B152" i="1" l="1"/>
  <c r="C152" i="1"/>
  <c r="D152" i="1"/>
  <c r="E152" i="1"/>
  <c r="B153" i="1" l="1"/>
  <c r="C153" i="1"/>
  <c r="E153" i="1"/>
  <c r="D153" i="1"/>
  <c r="B154" i="1" l="1"/>
  <c r="E154" i="1"/>
  <c r="C154" i="1"/>
  <c r="D154" i="1"/>
  <c r="B155" i="1" l="1"/>
  <c r="C155" i="1"/>
  <c r="D155" i="1"/>
  <c r="E155" i="1"/>
  <c r="B156" i="1" l="1"/>
  <c r="D156" i="1"/>
  <c r="C156" i="1"/>
  <c r="E156" i="1"/>
  <c r="B157" i="1" l="1"/>
  <c r="D157" i="1"/>
  <c r="E157" i="1"/>
  <c r="C157" i="1"/>
  <c r="B158" i="1" l="1"/>
  <c r="D158" i="1"/>
  <c r="C158" i="1"/>
  <c r="E158" i="1"/>
  <c r="B159" i="1" l="1"/>
  <c r="E159" i="1"/>
  <c r="C159" i="1"/>
  <c r="D159" i="1"/>
  <c r="B160" i="1" l="1"/>
  <c r="C160" i="1"/>
  <c r="E160" i="1"/>
  <c r="D160" i="1"/>
  <c r="B161" i="1" l="1"/>
  <c r="E161" i="1"/>
  <c r="C161" i="1"/>
  <c r="D161" i="1"/>
  <c r="B162" i="1" l="1"/>
  <c r="C162" i="1"/>
  <c r="D162" i="1"/>
  <c r="E162" i="1"/>
  <c r="B163" i="1" l="1"/>
  <c r="D163" i="1"/>
  <c r="E163" i="1"/>
  <c r="C163" i="1"/>
  <c r="B164" i="1" l="1"/>
  <c r="E164" i="1"/>
  <c r="C164" i="1"/>
  <c r="D164" i="1"/>
  <c r="B165" i="1" l="1"/>
  <c r="D165" i="1"/>
  <c r="C165" i="1"/>
  <c r="E165" i="1"/>
  <c r="B166" i="1" l="1"/>
  <c r="E166" i="1"/>
  <c r="C166" i="1"/>
  <c r="D166" i="1"/>
  <c r="B167" i="1" l="1"/>
  <c r="C167" i="1"/>
  <c r="E167" i="1"/>
  <c r="D167" i="1"/>
  <c r="B168" i="1" l="1"/>
  <c r="E168" i="1"/>
  <c r="C168" i="1"/>
  <c r="D168" i="1"/>
  <c r="B169" i="1" l="1"/>
  <c r="E169" i="1"/>
  <c r="D169" i="1"/>
  <c r="C169" i="1"/>
  <c r="B170" i="1" l="1"/>
  <c r="D170" i="1"/>
  <c r="C170" i="1"/>
  <c r="E170" i="1"/>
  <c r="B171" i="1" l="1"/>
  <c r="C171" i="1"/>
  <c r="D171" i="1"/>
  <c r="E171" i="1"/>
  <c r="B172" i="1" l="1"/>
  <c r="E172" i="1"/>
  <c r="D172" i="1"/>
  <c r="C172" i="1"/>
  <c r="B173" i="1" l="1"/>
  <c r="E173" i="1"/>
  <c r="D173" i="1"/>
  <c r="C173" i="1"/>
  <c r="B174" i="1" l="1"/>
  <c r="D174" i="1"/>
  <c r="E174" i="1"/>
  <c r="C174" i="1"/>
  <c r="B175" i="1" l="1"/>
  <c r="E175" i="1"/>
  <c r="C175" i="1"/>
  <c r="D175" i="1"/>
  <c r="B176" i="1" l="1"/>
  <c r="D176" i="1"/>
  <c r="C176" i="1"/>
  <c r="E176" i="1"/>
  <c r="B177" i="1" l="1"/>
  <c r="D177" i="1"/>
  <c r="E177" i="1"/>
  <c r="C177" i="1"/>
  <c r="B178" i="1" l="1"/>
  <c r="D178" i="1"/>
  <c r="E178" i="1"/>
  <c r="C178" i="1"/>
  <c r="B179" i="1" l="1"/>
  <c r="D179" i="1"/>
  <c r="C179" i="1"/>
  <c r="E179" i="1"/>
  <c r="B180" i="1" l="1"/>
  <c r="C180" i="1"/>
  <c r="D180" i="1"/>
  <c r="E180" i="1"/>
  <c r="B181" i="1" l="1"/>
  <c r="D181" i="1"/>
  <c r="C181" i="1"/>
  <c r="E181" i="1"/>
  <c r="B182" i="1" l="1"/>
  <c r="E182" i="1"/>
  <c r="D182" i="1"/>
  <c r="C182" i="1"/>
  <c r="B183" i="1" l="1"/>
  <c r="C183" i="1"/>
  <c r="D183" i="1"/>
  <c r="E183" i="1"/>
  <c r="B184" i="1" l="1"/>
  <c r="C184" i="1"/>
  <c r="E184" i="1"/>
  <c r="D184" i="1"/>
  <c r="B185" i="1" l="1"/>
  <c r="D185" i="1"/>
  <c r="C185" i="1"/>
  <c r="E185" i="1"/>
  <c r="B186" i="1" l="1"/>
  <c r="E186" i="1"/>
  <c r="C186" i="1"/>
  <c r="D186" i="1"/>
  <c r="B187" i="1" l="1"/>
  <c r="D187" i="1"/>
  <c r="E187" i="1"/>
  <c r="C187" i="1"/>
  <c r="B188" i="1" l="1"/>
  <c r="C188" i="1"/>
  <c r="E188" i="1"/>
  <c r="D188" i="1"/>
  <c r="B189" i="1" l="1"/>
  <c r="D189" i="1"/>
  <c r="C189" i="1"/>
  <c r="E189" i="1"/>
  <c r="B190" i="1" l="1"/>
  <c r="E190" i="1"/>
  <c r="C190" i="1"/>
  <c r="D190" i="1"/>
  <c r="B191" i="1" l="1"/>
  <c r="D191" i="1"/>
  <c r="C191" i="1"/>
  <c r="E191" i="1"/>
  <c r="B192" i="1" l="1"/>
  <c r="C192" i="1"/>
  <c r="E192" i="1"/>
  <c r="D192" i="1"/>
  <c r="B193" i="1" l="1"/>
  <c r="D193" i="1"/>
  <c r="C193" i="1"/>
  <c r="E193" i="1"/>
  <c r="B194" i="1" l="1"/>
  <c r="C194" i="1"/>
  <c r="E194" i="1"/>
  <c r="D194" i="1"/>
  <c r="B195" i="1" l="1"/>
  <c r="E195" i="1"/>
  <c r="D195" i="1"/>
  <c r="C195" i="1"/>
  <c r="B196" i="1" l="1"/>
  <c r="D196" i="1"/>
  <c r="C196" i="1"/>
  <c r="E196" i="1"/>
  <c r="B197" i="1" l="1"/>
  <c r="E197" i="1"/>
  <c r="D197" i="1"/>
  <c r="C197" i="1"/>
  <c r="B198" i="1" l="1"/>
  <c r="E198" i="1"/>
  <c r="D198" i="1"/>
  <c r="C198" i="1"/>
  <c r="B199" i="1" l="1"/>
  <c r="D199" i="1"/>
  <c r="C199" i="1"/>
  <c r="E199" i="1"/>
  <c r="B200" i="1" l="1"/>
  <c r="D200" i="1"/>
  <c r="C200" i="1"/>
  <c r="E200" i="1"/>
  <c r="B201" i="1" l="1"/>
  <c r="C201" i="1"/>
  <c r="E201" i="1"/>
  <c r="D201" i="1"/>
  <c r="B202" i="1" l="1"/>
  <c r="C202" i="1"/>
  <c r="E202" i="1"/>
  <c r="D202" i="1"/>
  <c r="B203" i="1" l="1"/>
  <c r="E203" i="1"/>
  <c r="C203" i="1"/>
  <c r="D203" i="1"/>
  <c r="B204" i="1" l="1"/>
  <c r="E204" i="1"/>
  <c r="C204" i="1"/>
  <c r="D204" i="1"/>
</calcChain>
</file>

<file path=xl/sharedStrings.xml><?xml version="1.0" encoding="utf-8"?>
<sst xmlns="http://schemas.openxmlformats.org/spreadsheetml/2006/main" count="20" uniqueCount="20">
  <si>
    <t>x</t>
  </si>
  <si>
    <t>Jacobi's Elliptic Functions</t>
  </si>
  <si>
    <t>m =</t>
  </si>
  <si>
    <r>
      <t xml:space="preserve">by </t>
    </r>
    <r>
      <rPr>
        <b/>
        <sz val="12"/>
        <color theme="6" tint="-0.499984740745262"/>
        <rFont val="Calibri"/>
        <family val="2"/>
      </rPr>
      <t>John Trenholme</t>
    </r>
  </si>
  <si>
    <t>xMax =</t>
  </si>
  <si>
    <t>period =</t>
  </si>
  <si>
    <t xml:space="preserve"> C.E.I._1</t>
  </si>
  <si>
    <t>Approx</t>
  </si>
  <si>
    <t>Abs Err</t>
  </si>
  <si>
    <t>Rel Err</t>
  </si>
  <si>
    <t>Maple</t>
  </si>
  <si>
    <t>Error of the Complete Elliptic Integral Approximation</t>
  </si>
  <si>
    <t>Elliptics version:</t>
  </si>
  <si>
    <t>Note argument is k = √m</t>
  </si>
  <si>
    <t>parameter</t>
  </si>
  <si>
    <t>k = SQRT of</t>
  </si>
  <si>
    <t>title</t>
  </si>
  <si>
    <t>sn(x|m)</t>
  </si>
  <si>
    <t>cn(x|m)</t>
  </si>
  <si>
    <t>dn(x|m)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</si>
</sst>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</font>
    <font>
      <b/>
      <u/>
      <sz val="22"/>
      <color rgb="FFFF0000"/>
      <name val="Calibri"/>
      <family val="2"/>
    </font>
    <font>
      <b/>
      <sz val="12"/>
      <color theme="6" tint="-0.499984740745262"/>
      <name val="Calibri"/>
      <family val="2"/>
    </font>
    <font>
      <b/>
      <sz val="12"/>
      <color rgb="FFC00000"/>
      <name val="Calibri"/>
      <family val="2"/>
    </font>
    <font>
      <b/>
      <u/>
      <sz val="14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Border="1" applyAlignment="1">
      <alignment horizontal="right"/>
    </xf>
    <xf numFmtId="0" fontId="0" fillId="0" borderId="0" xfId="0" applyBorder="1"/>
    <xf numFmtId="0" fontId="0" fillId="2" borderId="1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/>
    <xf numFmtId="0" fontId="4" fillId="0" borderId="0" xfId="0" applyFont="1"/>
    <xf numFmtId="0" fontId="0" fillId="0" borderId="0" xfId="0" applyNumberFormat="1"/>
    <xf numFmtId="0" fontId="0" fillId="0" borderId="0" xfId="0" applyAlignment="1">
      <alignment horizontal="center" wrapText="1"/>
    </xf>
    <xf numFmtId="0" fontId="0" fillId="2" borderId="1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3911293832292995E-2"/>
          <c:y val="1.0921735454209163E-2"/>
          <c:w val="0.94065744721322697"/>
          <c:h val="0.96025943736898656"/>
        </c:manualLayout>
      </c:layout>
      <c:scatterChart>
        <c:scatterStyle val="smoothMarker"/>
        <c:varyColors val="0"/>
        <c:ser>
          <c:idx val="0"/>
          <c:order val="0"/>
          <c:tx>
            <c:v>Sn</c:v>
          </c:tx>
          <c:marker>
            <c:symbol val="circle"/>
            <c:size val="3"/>
          </c:marker>
          <c:xVal>
            <c:numRef>
              <c:f>Main!$B$5:$B$204</c:f>
              <c:numCache>
                <c:formatCode>General</c:formatCode>
                <c:ptCount val="200"/>
                <c:pt idx="0">
                  <c:v>2.5000000000000001E-2</c:v>
                </c:pt>
                <c:pt idx="1">
                  <c:v>7.5000000000000011E-2</c:v>
                </c:pt>
                <c:pt idx="2">
                  <c:v>0.125</c:v>
                </c:pt>
                <c:pt idx="3">
                  <c:v>0.17499999999999999</c:v>
                </c:pt>
                <c:pt idx="4">
                  <c:v>0.22499999999999998</c:v>
                </c:pt>
                <c:pt idx="5">
                  <c:v>0.27499999999999997</c:v>
                </c:pt>
                <c:pt idx="6">
                  <c:v>0.32499999999999996</c:v>
                </c:pt>
                <c:pt idx="7">
                  <c:v>0.37499999999999994</c:v>
                </c:pt>
                <c:pt idx="8">
                  <c:v>0.42499999999999993</c:v>
                </c:pt>
                <c:pt idx="9">
                  <c:v>0.47499999999999992</c:v>
                </c:pt>
                <c:pt idx="10">
                  <c:v>0.52499999999999991</c:v>
                </c:pt>
                <c:pt idx="11">
                  <c:v>0.57499999999999996</c:v>
                </c:pt>
                <c:pt idx="12">
                  <c:v>0.625</c:v>
                </c:pt>
                <c:pt idx="13">
                  <c:v>0.67500000000000004</c:v>
                </c:pt>
                <c:pt idx="14">
                  <c:v>0.72500000000000009</c:v>
                </c:pt>
                <c:pt idx="15">
                  <c:v>0.77500000000000013</c:v>
                </c:pt>
                <c:pt idx="16">
                  <c:v>0.82500000000000018</c:v>
                </c:pt>
                <c:pt idx="17">
                  <c:v>0.87500000000000022</c:v>
                </c:pt>
                <c:pt idx="18">
                  <c:v>0.92500000000000027</c:v>
                </c:pt>
                <c:pt idx="19">
                  <c:v>0.97500000000000031</c:v>
                </c:pt>
                <c:pt idx="20">
                  <c:v>1.0250000000000004</c:v>
                </c:pt>
                <c:pt idx="21">
                  <c:v>1.0750000000000004</c:v>
                </c:pt>
                <c:pt idx="22">
                  <c:v>1.1250000000000004</c:v>
                </c:pt>
                <c:pt idx="23">
                  <c:v>1.1750000000000005</c:v>
                </c:pt>
                <c:pt idx="24">
                  <c:v>1.2250000000000005</c:v>
                </c:pt>
                <c:pt idx="25">
                  <c:v>1.2750000000000006</c:v>
                </c:pt>
                <c:pt idx="26">
                  <c:v>1.3250000000000006</c:v>
                </c:pt>
                <c:pt idx="27">
                  <c:v>1.3750000000000007</c:v>
                </c:pt>
                <c:pt idx="28">
                  <c:v>1.4250000000000007</c:v>
                </c:pt>
                <c:pt idx="29">
                  <c:v>1.4750000000000008</c:v>
                </c:pt>
                <c:pt idx="30">
                  <c:v>1.5250000000000008</c:v>
                </c:pt>
                <c:pt idx="31">
                  <c:v>1.5750000000000008</c:v>
                </c:pt>
                <c:pt idx="32">
                  <c:v>1.6250000000000009</c:v>
                </c:pt>
                <c:pt idx="33">
                  <c:v>1.6750000000000009</c:v>
                </c:pt>
                <c:pt idx="34">
                  <c:v>1.725000000000001</c:v>
                </c:pt>
                <c:pt idx="35">
                  <c:v>1.775000000000001</c:v>
                </c:pt>
                <c:pt idx="36">
                  <c:v>1.8250000000000011</c:v>
                </c:pt>
                <c:pt idx="37">
                  <c:v>1.8750000000000011</c:v>
                </c:pt>
                <c:pt idx="38">
                  <c:v>1.9250000000000012</c:v>
                </c:pt>
                <c:pt idx="39">
                  <c:v>1.9750000000000012</c:v>
                </c:pt>
                <c:pt idx="40">
                  <c:v>2.0250000000000012</c:v>
                </c:pt>
                <c:pt idx="41">
                  <c:v>2.0750000000000011</c:v>
                </c:pt>
                <c:pt idx="42">
                  <c:v>2.1250000000000009</c:v>
                </c:pt>
                <c:pt idx="43">
                  <c:v>2.1750000000000007</c:v>
                </c:pt>
                <c:pt idx="44">
                  <c:v>2.2250000000000005</c:v>
                </c:pt>
                <c:pt idx="45">
                  <c:v>2.2750000000000004</c:v>
                </c:pt>
                <c:pt idx="46">
                  <c:v>2.3250000000000002</c:v>
                </c:pt>
                <c:pt idx="47">
                  <c:v>2.375</c:v>
                </c:pt>
                <c:pt idx="48">
                  <c:v>2.4249999999999998</c:v>
                </c:pt>
                <c:pt idx="49">
                  <c:v>2.4749999999999996</c:v>
                </c:pt>
                <c:pt idx="50">
                  <c:v>2.5249999999999995</c:v>
                </c:pt>
                <c:pt idx="51">
                  <c:v>2.5749999999999993</c:v>
                </c:pt>
                <c:pt idx="52">
                  <c:v>2.6249999999999991</c:v>
                </c:pt>
                <c:pt idx="53">
                  <c:v>2.6749999999999989</c:v>
                </c:pt>
                <c:pt idx="54">
                  <c:v>2.7249999999999988</c:v>
                </c:pt>
                <c:pt idx="55">
                  <c:v>2.7749999999999986</c:v>
                </c:pt>
                <c:pt idx="56">
                  <c:v>2.8249999999999984</c:v>
                </c:pt>
                <c:pt idx="57">
                  <c:v>2.8749999999999982</c:v>
                </c:pt>
                <c:pt idx="58">
                  <c:v>2.924999999999998</c:v>
                </c:pt>
                <c:pt idx="59">
                  <c:v>2.9749999999999979</c:v>
                </c:pt>
                <c:pt idx="60">
                  <c:v>3.0249999999999977</c:v>
                </c:pt>
                <c:pt idx="61">
                  <c:v>3.0749999999999975</c:v>
                </c:pt>
                <c:pt idx="62">
                  <c:v>3.1249999999999973</c:v>
                </c:pt>
                <c:pt idx="63">
                  <c:v>3.1749999999999972</c:v>
                </c:pt>
                <c:pt idx="64">
                  <c:v>3.224999999999997</c:v>
                </c:pt>
                <c:pt idx="65">
                  <c:v>3.2749999999999968</c:v>
                </c:pt>
                <c:pt idx="66">
                  <c:v>3.3249999999999966</c:v>
                </c:pt>
                <c:pt idx="67">
                  <c:v>3.3749999999999964</c:v>
                </c:pt>
                <c:pt idx="68">
                  <c:v>3.4249999999999963</c:v>
                </c:pt>
                <c:pt idx="69">
                  <c:v>3.4749999999999961</c:v>
                </c:pt>
                <c:pt idx="70">
                  <c:v>3.5249999999999959</c:v>
                </c:pt>
                <c:pt idx="71">
                  <c:v>3.5749999999999957</c:v>
                </c:pt>
                <c:pt idx="72">
                  <c:v>3.6249999999999956</c:v>
                </c:pt>
                <c:pt idx="73">
                  <c:v>3.6749999999999954</c:v>
                </c:pt>
                <c:pt idx="74">
                  <c:v>3.7249999999999952</c:v>
                </c:pt>
                <c:pt idx="75">
                  <c:v>3.774999999999995</c:v>
                </c:pt>
                <c:pt idx="76">
                  <c:v>3.8249999999999948</c:v>
                </c:pt>
                <c:pt idx="77">
                  <c:v>3.8749999999999947</c:v>
                </c:pt>
                <c:pt idx="78">
                  <c:v>3.9249999999999945</c:v>
                </c:pt>
                <c:pt idx="79">
                  <c:v>3.9749999999999943</c:v>
                </c:pt>
                <c:pt idx="80">
                  <c:v>4.0249999999999941</c:v>
                </c:pt>
                <c:pt idx="81">
                  <c:v>4.074999999999994</c:v>
                </c:pt>
                <c:pt idx="82">
                  <c:v>4.1249999999999938</c:v>
                </c:pt>
                <c:pt idx="83">
                  <c:v>4.1749999999999936</c:v>
                </c:pt>
                <c:pt idx="84">
                  <c:v>4.2249999999999934</c:v>
                </c:pt>
                <c:pt idx="85">
                  <c:v>4.2749999999999932</c:v>
                </c:pt>
                <c:pt idx="86">
                  <c:v>4.3249999999999931</c:v>
                </c:pt>
                <c:pt idx="87">
                  <c:v>4.3749999999999929</c:v>
                </c:pt>
                <c:pt idx="88">
                  <c:v>4.4249999999999927</c:v>
                </c:pt>
                <c:pt idx="89">
                  <c:v>4.4749999999999925</c:v>
                </c:pt>
                <c:pt idx="90">
                  <c:v>4.5249999999999924</c:v>
                </c:pt>
                <c:pt idx="91">
                  <c:v>4.5749999999999922</c:v>
                </c:pt>
                <c:pt idx="92">
                  <c:v>4.624999999999992</c:v>
                </c:pt>
                <c:pt idx="93">
                  <c:v>4.6749999999999918</c:v>
                </c:pt>
                <c:pt idx="94">
                  <c:v>4.7249999999999917</c:v>
                </c:pt>
                <c:pt idx="95">
                  <c:v>4.7749999999999915</c:v>
                </c:pt>
                <c:pt idx="96">
                  <c:v>4.8249999999999913</c:v>
                </c:pt>
                <c:pt idx="97">
                  <c:v>4.8749999999999911</c:v>
                </c:pt>
                <c:pt idx="98">
                  <c:v>4.9249999999999909</c:v>
                </c:pt>
                <c:pt idx="99">
                  <c:v>4.9749999999999908</c:v>
                </c:pt>
                <c:pt idx="100">
                  <c:v>5.0249999999999906</c:v>
                </c:pt>
                <c:pt idx="101">
                  <c:v>5.0749999999999904</c:v>
                </c:pt>
                <c:pt idx="102">
                  <c:v>5.1249999999999902</c:v>
                </c:pt>
                <c:pt idx="103">
                  <c:v>5.1749999999999901</c:v>
                </c:pt>
                <c:pt idx="104">
                  <c:v>5.2249999999999899</c:v>
                </c:pt>
                <c:pt idx="105">
                  <c:v>5.2749999999999897</c:v>
                </c:pt>
                <c:pt idx="106">
                  <c:v>5.3249999999999895</c:v>
                </c:pt>
                <c:pt idx="107">
                  <c:v>5.3749999999999893</c:v>
                </c:pt>
                <c:pt idx="108">
                  <c:v>5.4249999999999892</c:v>
                </c:pt>
                <c:pt idx="109">
                  <c:v>5.474999999999989</c:v>
                </c:pt>
                <c:pt idx="110">
                  <c:v>5.5249999999999888</c:v>
                </c:pt>
                <c:pt idx="111">
                  <c:v>5.5749999999999886</c:v>
                </c:pt>
                <c:pt idx="112">
                  <c:v>5.6249999999999885</c:v>
                </c:pt>
                <c:pt idx="113">
                  <c:v>5.6749999999999883</c:v>
                </c:pt>
                <c:pt idx="114">
                  <c:v>5.7249999999999881</c:v>
                </c:pt>
                <c:pt idx="115">
                  <c:v>5.7749999999999879</c:v>
                </c:pt>
                <c:pt idx="116">
                  <c:v>5.8249999999999877</c:v>
                </c:pt>
                <c:pt idx="117">
                  <c:v>5.8749999999999876</c:v>
                </c:pt>
                <c:pt idx="118">
                  <c:v>5.9249999999999874</c:v>
                </c:pt>
                <c:pt idx="119">
                  <c:v>5.9749999999999872</c:v>
                </c:pt>
                <c:pt idx="120">
                  <c:v>6.024999999999987</c:v>
                </c:pt>
                <c:pt idx="121">
                  <c:v>6.0749999999999869</c:v>
                </c:pt>
                <c:pt idx="122">
                  <c:v>6.1249999999999867</c:v>
                </c:pt>
                <c:pt idx="123">
                  <c:v>6.1749999999999865</c:v>
                </c:pt>
                <c:pt idx="124">
                  <c:v>6.2249999999999863</c:v>
                </c:pt>
                <c:pt idx="125">
                  <c:v>6.2749999999999861</c:v>
                </c:pt>
                <c:pt idx="126">
                  <c:v>6.324999999999986</c:v>
                </c:pt>
                <c:pt idx="127">
                  <c:v>6.3749999999999858</c:v>
                </c:pt>
                <c:pt idx="128">
                  <c:v>6.4249999999999856</c:v>
                </c:pt>
                <c:pt idx="129">
                  <c:v>6.4749999999999854</c:v>
                </c:pt>
                <c:pt idx="130">
                  <c:v>6.5249999999999853</c:v>
                </c:pt>
                <c:pt idx="131">
                  <c:v>6.5749999999999851</c:v>
                </c:pt>
                <c:pt idx="132">
                  <c:v>6.6249999999999849</c:v>
                </c:pt>
                <c:pt idx="133">
                  <c:v>6.6749999999999847</c:v>
                </c:pt>
                <c:pt idx="134">
                  <c:v>6.7249999999999845</c:v>
                </c:pt>
                <c:pt idx="135">
                  <c:v>6.7749999999999844</c:v>
                </c:pt>
                <c:pt idx="136">
                  <c:v>6.8249999999999842</c:v>
                </c:pt>
                <c:pt idx="137">
                  <c:v>6.874999999999984</c:v>
                </c:pt>
                <c:pt idx="138">
                  <c:v>6.9249999999999838</c:v>
                </c:pt>
                <c:pt idx="139">
                  <c:v>6.9749999999999837</c:v>
                </c:pt>
                <c:pt idx="140">
                  <c:v>7.0249999999999835</c:v>
                </c:pt>
                <c:pt idx="141">
                  <c:v>7.0749999999999833</c:v>
                </c:pt>
                <c:pt idx="142">
                  <c:v>7.1249999999999831</c:v>
                </c:pt>
                <c:pt idx="143">
                  <c:v>7.1749999999999829</c:v>
                </c:pt>
                <c:pt idx="144">
                  <c:v>7.2249999999999828</c:v>
                </c:pt>
                <c:pt idx="145">
                  <c:v>7.2749999999999826</c:v>
                </c:pt>
                <c:pt idx="146">
                  <c:v>7.3249999999999824</c:v>
                </c:pt>
                <c:pt idx="147">
                  <c:v>7.3749999999999822</c:v>
                </c:pt>
                <c:pt idx="148">
                  <c:v>7.4249999999999821</c:v>
                </c:pt>
                <c:pt idx="149">
                  <c:v>7.4749999999999819</c:v>
                </c:pt>
                <c:pt idx="150">
                  <c:v>7.5249999999999817</c:v>
                </c:pt>
                <c:pt idx="151">
                  <c:v>7.5749999999999815</c:v>
                </c:pt>
                <c:pt idx="152">
                  <c:v>7.6249999999999813</c:v>
                </c:pt>
                <c:pt idx="153">
                  <c:v>7.6749999999999812</c:v>
                </c:pt>
                <c:pt idx="154">
                  <c:v>7.724999999999981</c:v>
                </c:pt>
                <c:pt idx="155">
                  <c:v>7.7749999999999808</c:v>
                </c:pt>
                <c:pt idx="156">
                  <c:v>7.8249999999999806</c:v>
                </c:pt>
                <c:pt idx="157">
                  <c:v>7.8749999999999805</c:v>
                </c:pt>
                <c:pt idx="158">
                  <c:v>7.9249999999999803</c:v>
                </c:pt>
                <c:pt idx="159">
                  <c:v>7.9749999999999801</c:v>
                </c:pt>
                <c:pt idx="160">
                  <c:v>8.0249999999999808</c:v>
                </c:pt>
                <c:pt idx="161">
                  <c:v>8.0749999999999815</c:v>
                </c:pt>
                <c:pt idx="162">
                  <c:v>8.1249999999999822</c:v>
                </c:pt>
                <c:pt idx="163">
                  <c:v>8.1749999999999829</c:v>
                </c:pt>
                <c:pt idx="164">
                  <c:v>8.2249999999999837</c:v>
                </c:pt>
                <c:pt idx="165">
                  <c:v>8.2749999999999844</c:v>
                </c:pt>
                <c:pt idx="166">
                  <c:v>8.3249999999999851</c:v>
                </c:pt>
                <c:pt idx="167">
                  <c:v>8.3749999999999858</c:v>
                </c:pt>
                <c:pt idx="168">
                  <c:v>8.4249999999999865</c:v>
                </c:pt>
                <c:pt idx="169">
                  <c:v>8.4749999999999872</c:v>
                </c:pt>
                <c:pt idx="170">
                  <c:v>8.5249999999999879</c:v>
                </c:pt>
                <c:pt idx="171">
                  <c:v>8.5749999999999886</c:v>
                </c:pt>
                <c:pt idx="172">
                  <c:v>8.6249999999999893</c:v>
                </c:pt>
                <c:pt idx="173">
                  <c:v>8.6749999999999901</c:v>
                </c:pt>
                <c:pt idx="174">
                  <c:v>8.7249999999999908</c:v>
                </c:pt>
                <c:pt idx="175">
                  <c:v>8.7749999999999915</c:v>
                </c:pt>
                <c:pt idx="176">
                  <c:v>8.8249999999999922</c:v>
                </c:pt>
                <c:pt idx="177">
                  <c:v>8.8749999999999929</c:v>
                </c:pt>
                <c:pt idx="178">
                  <c:v>8.9249999999999936</c:v>
                </c:pt>
                <c:pt idx="179">
                  <c:v>8.9749999999999943</c:v>
                </c:pt>
                <c:pt idx="180">
                  <c:v>9.024999999999995</c:v>
                </c:pt>
                <c:pt idx="181">
                  <c:v>9.0749999999999957</c:v>
                </c:pt>
                <c:pt idx="182">
                  <c:v>9.1249999999999964</c:v>
                </c:pt>
                <c:pt idx="183">
                  <c:v>9.1749999999999972</c:v>
                </c:pt>
                <c:pt idx="184">
                  <c:v>9.2249999999999979</c:v>
                </c:pt>
                <c:pt idx="185">
                  <c:v>9.2749999999999986</c:v>
                </c:pt>
                <c:pt idx="186">
                  <c:v>9.3249999999999993</c:v>
                </c:pt>
                <c:pt idx="187">
                  <c:v>9.375</c:v>
                </c:pt>
                <c:pt idx="188">
                  <c:v>9.4250000000000007</c:v>
                </c:pt>
                <c:pt idx="189">
                  <c:v>9.4750000000000014</c:v>
                </c:pt>
                <c:pt idx="190">
                  <c:v>9.5250000000000021</c:v>
                </c:pt>
                <c:pt idx="191">
                  <c:v>9.5750000000000028</c:v>
                </c:pt>
                <c:pt idx="192">
                  <c:v>9.6250000000000036</c:v>
                </c:pt>
                <c:pt idx="193">
                  <c:v>9.6750000000000043</c:v>
                </c:pt>
                <c:pt idx="194">
                  <c:v>9.725000000000005</c:v>
                </c:pt>
                <c:pt idx="195">
                  <c:v>9.7750000000000057</c:v>
                </c:pt>
                <c:pt idx="196">
                  <c:v>9.8250000000000064</c:v>
                </c:pt>
                <c:pt idx="197">
                  <c:v>9.8750000000000071</c:v>
                </c:pt>
                <c:pt idx="198">
                  <c:v>9.9250000000000078</c:v>
                </c:pt>
                <c:pt idx="199">
                  <c:v>9.9750000000000085</c:v>
                </c:pt>
              </c:numCache>
            </c:numRef>
          </c:xVal>
          <c:yVal>
            <c:numRef>
              <c:f>Main!$C$5:$C$204</c:f>
              <c:numCache>
                <c:formatCode>General</c:formatCode>
                <c:ptCount val="200"/>
                <c:pt idx="0">
                  <c:v>2.4995313544684681E-2</c:v>
                </c:pt>
                <c:pt idx="1">
                  <c:v>7.4873690898201631E-2</c:v>
                </c:pt>
                <c:pt idx="2">
                  <c:v>0.12441730945001636</c:v>
                </c:pt>
                <c:pt idx="3">
                  <c:v>0.17340955626184257</c:v>
                </c:pt>
                <c:pt idx="4">
                  <c:v>0.22164339979065489</c:v>
                </c:pt>
                <c:pt idx="5">
                  <c:v>0.26892472331834416</c:v>
                </c:pt>
                <c:pt idx="6">
                  <c:v>0.31507519696306191</c:v>
                </c:pt>
                <c:pt idx="7">
                  <c:v>0.35993460628703261</c:v>
                </c:pt>
                <c:pt idx="8">
                  <c:v>0.40336258644103418</c:v>
                </c:pt>
                <c:pt idx="9">
                  <c:v>0.44523974245495496</c:v>
                </c:pt>
                <c:pt idx="10">
                  <c:v>0.48546816627745309</c:v>
                </c:pt>
                <c:pt idx="11">
                  <c:v>0.52397138747450678</c:v>
                </c:pt>
                <c:pt idx="12">
                  <c:v>0.56069381567388055</c:v>
                </c:pt>
                <c:pt idx="13">
                  <c:v>0.59559974808467553</c:v>
                </c:pt>
                <c:pt idx="14">
                  <c:v>0.62867202454180626</c:v>
                </c:pt>
                <c:pt idx="15">
                  <c:v>0.65991041587030808</c:v>
                </c:pt>
                <c:pt idx="16">
                  <c:v>0.68932982968111767</c:v>
                </c:pt>
                <c:pt idx="17">
                  <c:v>0.71695841199836829</c:v>
                </c:pt>
                <c:pt idx="18">
                  <c:v>0.7428356144869962</c:v>
                </c:pt>
                <c:pt idx="19">
                  <c:v>0.76701028659356674</c:v>
                </c:pt>
                <c:pt idx="20">
                  <c:v>0.78953884062202628</c:v>
                </c:pt>
                <c:pt idx="21">
                  <c:v>0.81048352646500799</c:v>
                </c:pt>
                <c:pt idx="22">
                  <c:v>0.82991084203439891</c:v>
                </c:pt>
                <c:pt idx="23">
                  <c:v>0.84789009582281993</c:v>
                </c:pt>
                <c:pt idx="24">
                  <c:v>0.86449212974409584</c:v>
                </c:pt>
                <c:pt idx="25">
                  <c:v>0.87978820355968002</c:v>
                </c:pt>
                <c:pt idx="26">
                  <c:v>0.89384903679618088</c:v>
                </c:pt>
                <c:pt idx="27">
                  <c:v>0.90674400000908451</c:v>
                </c:pt>
                <c:pt idx="28">
                  <c:v>0.91854044440742133</c:v>
                </c:pt>
                <c:pt idx="29">
                  <c:v>0.92930315705208943</c:v>
                </c:pt>
                <c:pt idx="30">
                  <c:v>0.93909392789567314</c:v>
                </c:pt>
                <c:pt idx="31">
                  <c:v>0.9479712146673781</c:v>
                </c:pt>
                <c:pt idx="32">
                  <c:v>0.9559898918607157</c:v>
                </c:pt>
                <c:pt idx="33">
                  <c:v>0.96320107071100325</c:v>
                </c:pt>
                <c:pt idx="34">
                  <c:v>0.96965197793389235</c:v>
                </c:pt>
                <c:pt idx="35">
                  <c:v>0.97538588203657806</c:v>
                </c:pt>
                <c:pt idx="36">
                  <c:v>0.98044205713272181</c:v>
                </c:pt>
                <c:pt idx="37">
                  <c:v>0.98485577533201807</c:v>
                </c:pt>
                <c:pt idx="38">
                  <c:v>0.98865831989365394</c:v>
                </c:pt>
                <c:pt idx="39">
                  <c:v>0.99187701240129755</c:v>
                </c:pt>
                <c:pt idx="40">
                  <c:v>0.99453524821846995</c:v>
                </c:pt>
                <c:pt idx="41">
                  <c:v>0.99665253540880361</c:v>
                </c:pt>
                <c:pt idx="42">
                  <c:v>0.99824453315422923</c:v>
                </c:pt>
                <c:pt idx="43">
                  <c:v>0.99932308647916279</c:v>
                </c:pt>
                <c:pt idx="44">
                  <c:v>0.99989625479771416</c:v>
                </c:pt>
                <c:pt idx="45">
                  <c:v>0.99996833245392935</c:v>
                </c:pt>
                <c:pt idx="46">
                  <c:v>0.99953986003417905</c:v>
                </c:pt>
                <c:pt idx="47">
                  <c:v>0.99860762580928253</c:v>
                </c:pt>
                <c:pt idx="48">
                  <c:v>0.99716465722590408</c:v>
                </c:pt>
                <c:pt idx="49">
                  <c:v>0.99520020292660594</c:v>
                </c:pt>
                <c:pt idx="50">
                  <c:v>0.99269970635018834</c:v>
                </c:pt>
                <c:pt idx="51">
                  <c:v>0.98964477256282046</c:v>
                </c:pt>
                <c:pt idx="52">
                  <c:v>0.98601313060949913</c:v>
                </c:pt>
                <c:pt idx="53">
                  <c:v>0.98177859436706028</c:v>
                </c:pt>
                <c:pt idx="54">
                  <c:v>0.97691102563505683</c:v>
                </c:pt>
                <c:pt idx="55">
                  <c:v>0.97137630402759756</c:v>
                </c:pt>
                <c:pt idx="56">
                  <c:v>0.96513630913258341</c:v>
                </c:pt>
                <c:pt idx="57">
                  <c:v>0.95814892138472818</c:v>
                </c:pt>
                <c:pt idx="58">
                  <c:v>0.95036804914912387</c:v>
                </c:pt>
                <c:pt idx="59">
                  <c:v>0.94174369061840602</c:v>
                </c:pt>
                <c:pt idx="60">
                  <c:v>0.93222204026392419</c:v>
                </c:pt>
                <c:pt idx="61">
                  <c:v>0.92174565071182513</c:v>
                </c:pt>
                <c:pt idx="62">
                  <c:v>0.91025366198521673</c:v>
                </c:pt>
                <c:pt idx="63">
                  <c:v>0.89768211099189976</c:v>
                </c:pt>
                <c:pt idx="64">
                  <c:v>0.88396433485139014</c:v>
                </c:pt>
                <c:pt idx="65">
                  <c:v>0.869031482030866</c:v>
                </c:pt>
                <c:pt idx="66">
                  <c:v>0.85281314516068574</c:v>
                </c:pt>
                <c:pt idx="67">
                  <c:v>0.83523812866905511</c:v>
                </c:pt>
                <c:pt idx="68">
                  <c:v>0.81623536283902265</c:v>
                </c:pt>
                <c:pt idx="69">
                  <c:v>0.79573497336823928</c:v>
                </c:pt>
                <c:pt idx="70">
                  <c:v>0.773669511826791</c:v>
                </c:pt>
                <c:pt idx="71">
                  <c:v>0.74997534740811667</c:v>
                </c:pt>
                <c:pt idx="72">
                  <c:v>0.72459421394636736</c:v>
                </c:pt>
                <c:pt idx="73">
                  <c:v>0.6974748982998249</c:v>
                </c:pt>
                <c:pt idx="74">
                  <c:v>0.66857504695096415</c:v>
                </c:pt>
                <c:pt idx="75">
                  <c:v>0.63786305726675496</c:v>
                </c:pt>
                <c:pt idx="76">
                  <c:v>0.60532000868523628</c:v>
                </c:pt>
                <c:pt idx="77">
                  <c:v>0.57094157772384546</c:v>
                </c:pt>
                <c:pt idx="78">
                  <c:v>0.53473986991326605</c:v>
                </c:pt>
                <c:pt idx="79">
                  <c:v>0.49674509249432658</c:v>
                </c:pt>
                <c:pt idx="80">
                  <c:v>0.45700698504721077</c:v>
                </c:pt>
                <c:pt idx="81">
                  <c:v>0.41559592226802183</c:v>
                </c:pt>
                <c:pt idx="82">
                  <c:v>0.37260360491295258</c:v>
                </c:pt>
                <c:pt idx="83">
                  <c:v>0.32814326233050373</c:v>
                </c:pt>
                <c:pt idx="84">
                  <c:v>0.28234930347360321</c:v>
                </c:pt>
                <c:pt idx="85">
                  <c:v>0.23537637280448015</c:v>
                </c:pt>
                <c:pt idx="86">
                  <c:v>0.18739779245392943</c:v>
                </c:pt>
                <c:pt idx="87">
                  <c:v>0.13860340111112271</c:v>
                </c:pt>
                <c:pt idx="88">
                  <c:v>8.9196831540515678E-2</c:v>
                </c:pt>
                <c:pt idx="89">
                  <c:v>3.9392300025362162E-2</c:v>
                </c:pt>
                <c:pt idx="90">
                  <c:v>-1.0588990143988626E-2</c:v>
                </c:pt>
                <c:pt idx="91">
                  <c:v>-6.0522705313095337E-2</c:v>
                </c:pt>
                <c:pt idx="92">
                  <c:v>-0.11018535600668561</c:v>
                </c:pt>
                <c:pt idx="93">
                  <c:v>-0.15935823959524537</c:v>
                </c:pt>
                <c:pt idx="94">
                  <c:v>-0.20783120335481961</c:v>
                </c:pt>
                <c:pt idx="95">
                  <c:v>-0.2554060916302372</c:v>
                </c:pt>
                <c:pt idx="96">
                  <c:v>-0.30189976054321926</c:v>
                </c:pt>
                <c:pt idx="97">
                  <c:v>-0.34714656985186615</c:v>
                </c:pt>
                <c:pt idx="98">
                  <c:v>-0.39100029179915291</c:v>
                </c:pt>
                <c:pt idx="99">
                  <c:v>-0.43333540850356261</c:v>
                </c:pt>
                <c:pt idx="100">
                  <c:v>-0.47404780014959841</c:v>
                </c:pt>
                <c:pt idx="101">
                  <c:v>-0.51305485378039906</c:v>
                </c:pt>
                <c:pt idx="102">
                  <c:v>-0.55029504526135964</c:v>
                </c:pt>
                <c:pt idx="103">
                  <c:v>-0.58572706398163188</c:v>
                </c:pt>
                <c:pt idx="104">
                  <c:v>-0.61932856073112164</c:v>
                </c:pt>
                <c:pt idx="105">
                  <c:v>-0.65109460413853815</c:v>
                </c:pt>
                <c:pt idx="106">
                  <c:v>-0.68103593072775981</c:v>
                </c:pt>
                <c:pt idx="107">
                  <c:v>-0.70917706898770949</c:v>
                </c:pt>
                <c:pt idx="108">
                  <c:v>-0.73555440994623922</c:v>
                </c:pt>
                <c:pt idx="109">
                  <c:v>-0.76021428670099001</c:v>
                </c:pt>
                <c:pt idx="110">
                  <c:v>-0.78321111421709921</c:v>
                </c:pt>
                <c:pt idx="111">
                  <c:v>-0.80460562932969093</c:v>
                </c:pt>
                <c:pt idx="112">
                  <c:v>-0.82446325997873571</c:v>
                </c:pt>
                <c:pt idx="113">
                  <c:v>-0.84285264275051031</c:v>
                </c:pt>
                <c:pt idx="114">
                  <c:v>-0.85984429911573246</c:v>
                </c:pt>
                <c:pt idx="115">
                  <c:v>-0.8755094734933957</c:v>
                </c:pt>
                <c:pt idx="116">
                  <c:v>-0.88991913045854887</c:v>
                </c:pt>
                <c:pt idx="117">
                  <c:v>-0.90314310398529818</c:v>
                </c:pt>
                <c:pt idx="118">
                  <c:v>-0.9152493884440247</c:v>
                </c:pt>
                <c:pt idx="119">
                  <c:v>-0.92630355898898531</c:v>
                </c:pt>
                <c:pt idx="120">
                  <c:v>-0.93636830779906222</c:v>
                </c:pt>
                <c:pt idx="121">
                  <c:v>-0.94550308219146828</c:v>
                </c:pt>
                <c:pt idx="122">
                  <c:v>-0.95376381074843253</c:v>
                </c:pt>
                <c:pt idx="123">
                  <c:v>-0.96120270413150455</c:v>
                </c:pt>
                <c:pt idx="124">
                  <c:v>-0.96786811807991446</c:v>
                </c:pt>
                <c:pt idx="125">
                  <c:v>-0.97380446709364243</c:v>
                </c:pt>
                <c:pt idx="126">
                  <c:v>-0.97905217840527226</c:v>
                </c:pt>
                <c:pt idx="127">
                  <c:v>-0.98364767698365629</c:v>
                </c:pt>
                <c:pt idx="128">
                  <c:v>-0.98762339344043604</c:v>
                </c:pt>
                <c:pt idx="129">
                  <c:v>-0.99100778779544796</c:v>
                </c:pt>
                <c:pt idx="130">
                  <c:v>-0.99382538307882951</c:v>
                </c:pt>
                <c:pt idx="131">
                  <c:v>-0.99609680369549403</c:v>
                </c:pt>
                <c:pt idx="132">
                  <c:v>-0.99783881434824295</c:v>
                </c:pt>
                <c:pt idx="133">
                  <c:v>-0.99906435611137379</c:v>
                </c:pt>
                <c:pt idx="134">
                  <c:v>-0.99978257697370587</c:v>
                </c:pt>
                <c:pt idx="135">
                  <c:v>-0.99999885483789863</c:v>
                </c:pt>
                <c:pt idx="136">
                  <c:v>-0.99971481158336462</c:v>
                </c:pt>
                <c:pt idx="137">
                  <c:v>-0.99892831738597465</c:v>
                </c:pt>
                <c:pt idx="138">
                  <c:v>-0.99763348505297766</c:v>
                </c:pt>
                <c:pt idx="139">
                  <c:v>-0.9958206546905366</c:v>
                </c:pt>
                <c:pt idx="140">
                  <c:v>-0.99347636958846375</c:v>
                </c:pt>
                <c:pt idx="141">
                  <c:v>-0.99058334479651744</c:v>
                </c:pt>
                <c:pt idx="142">
                  <c:v>-0.98712043049274201</c:v>
                </c:pt>
                <c:pt idx="143">
                  <c:v>-0.98306257291965793</c:v>
                </c:pt>
                <c:pt idx="144">
                  <c:v>-0.97838077639993715</c:v>
                </c:pt>
                <c:pt idx="145">
                  <c:v>-0.97304207074866045</c:v>
                </c:pt>
                <c:pt idx="146">
                  <c:v>-0.96700948928027375</c:v>
                </c:pt>
                <c:pt idx="147">
                  <c:v>-0.96024206356656583</c:v>
                </c:pt>
                <c:pt idx="148">
                  <c:v>-0.95269484213314204</c:v>
                </c:pt>
                <c:pt idx="149">
                  <c:v>-0.94431894137409977</c:v>
                </c:pt>
                <c:pt idx="150">
                  <c:v>-0.93506163809627296</c:v>
                </c:pt>
                <c:pt idx="151">
                  <c:v>-0.92486651424163624</c:v>
                </c:pt>
                <c:pt idx="152">
                  <c:v>-0.91367366543057804</c:v>
                </c:pt>
                <c:pt idx="153">
                  <c:v>-0.90141998595361406</c:v>
                </c:pt>
                <c:pt idx="154">
                  <c:v>-0.88803954362865978</c:v>
                </c:pt>
                <c:pt idx="155">
                  <c:v>-0.87346405842743569</c:v>
                </c:pt>
                <c:pt idx="156">
                  <c:v>-0.85762349882773792</c:v>
                </c:pt>
                <c:pt idx="157">
                  <c:v>-0.84044680931659554</c:v>
                </c:pt>
                <c:pt idx="158">
                  <c:v>-0.82186278118347167</c:v>
                </c:pt>
                <c:pt idx="159">
                  <c:v>-0.80180107652275645</c:v>
                </c:pt>
                <c:pt idx="160">
                  <c:v>-0.78019341203180459</c:v>
                </c:pt>
                <c:pt idx="161">
                  <c:v>-0.75697490458294203</c:v>
                </c:pt>
                <c:pt idx="162">
                  <c:v>-0.73208557454293532</c:v>
                </c:pt>
                <c:pt idx="163">
                  <c:v>-0.70547199535568061</c:v>
                </c:pt>
                <c:pt idx="164">
                  <c:v>-0.67708906903570942</c:v>
                </c:pt>
                <c:pt idx="165">
                  <c:v>-0.64690189711509916</c:v>
                </c:pt>
                <c:pt idx="166">
                  <c:v>-0.61488770558028405</c:v>
                </c:pt>
                <c:pt idx="167">
                  <c:v>-0.58103777094957743</c:v>
                </c:pt>
                <c:pt idx="168">
                  <c:v>-0.54535928359363117</c:v>
                </c:pt>
                <c:pt idx="169">
                  <c:v>-0.5078770745894261</c:v>
                </c:pt>
                <c:pt idx="170">
                  <c:v>-0.46863512486691022</c:v>
                </c:pt>
                <c:pt idx="171">
                  <c:v>-0.42769777126993763</c:v>
                </c:pt>
                <c:pt idx="172">
                  <c:v>-0.38515052448890597</c:v>
                </c:pt>
                <c:pt idx="173">
                  <c:v>-0.34110041954264908</c:v>
                </c:pt>
                <c:pt idx="174">
                  <c:v>-0.29567583118669855</c:v>
                </c:pt>
                <c:pt idx="175">
                  <c:v>-0.24902570443840991</c:v>
                </c:pt>
                <c:pt idx="176">
                  <c:v>-0.20131817389516274</c:v>
                </c:pt>
                <c:pt idx="177">
                  <c:v>-0.15273857360190482</c:v>
                </c:pt>
                <c:pt idx="178">
                  <c:v>-0.1034868702014981</c:v>
                </c:pt>
                <c:pt idx="179">
                  <c:v>-5.3774583766769211E-2</c:v>
                </c:pt>
                <c:pt idx="180">
                  <c:v>-3.8212905434407093E-3</c:v>
                </c:pt>
                <c:pt idx="181">
                  <c:v>4.6149172742544951E-2</c:v>
                </c:pt>
                <c:pt idx="182">
                  <c:v>9.5912664656675542E-2</c:v>
                </c:pt>
                <c:pt idx="183">
                  <c:v>0.145248706335487</c:v>
                </c:pt>
                <c:pt idx="184">
                  <c:v>0.19394431096405104</c:v>
                </c:pt>
                <c:pt idx="185">
                  <c:v>0.24179753494936199</c:v>
                </c:pt>
                <c:pt idx="186">
                  <c:v>0.28862062779052455</c:v>
                </c:pt>
                <c:pt idx="187">
                  <c:v>0.33424268218307684</c:v>
                </c:pt>
                <c:pt idx="188">
                  <c:v>0.37851171521522664</c:v>
                </c:pt>
                <c:pt idx="189">
                  <c:v>0.42129614306661212</c:v>
                </c:pt>
                <c:pt idx="190">
                  <c:v>0.46248564285610116</c:v>
                </c:pt>
                <c:pt idx="191">
                  <c:v>0.50199142393234886</c:v>
                </c:pt>
                <c:pt idx="192">
                  <c:v>0.53974595517463386</c:v>
                </c:pt>
                <c:pt idx="193">
                  <c:v>0.57570221359596652</c:v>
                </c:pt>
                <c:pt idx="194">
                  <c:v>0.60983253217904143</c:v>
                </c:pt>
                <c:pt idx="195">
                  <c:v>0.64212713148109202</c:v>
                </c:pt>
                <c:pt idx="196">
                  <c:v>0.67259242064960201</c:v>
                </c:pt>
                <c:pt idx="197">
                  <c:v>0.70124914996978094</c:v>
                </c:pt>
                <c:pt idx="198">
                  <c:v>0.72813048997937724</c:v>
                </c:pt>
                <c:pt idx="199">
                  <c:v>0.75328010265301604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54-453A-9ED2-A1AE2EC437D9}"/>
            </c:ext>
          </c:extLst>
        </c:ser>
        <c:ser>
          <c:idx val="1"/>
          <c:order val="1"/>
          <c:tx>
            <c:v>Cn</c:v>
          </c:tx>
          <c:marker>
            <c:symbol val="circle"/>
            <c:size val="3"/>
          </c:marker>
          <c:xVal>
            <c:numRef>
              <c:f>Main!$B$5:$B$204</c:f>
              <c:numCache>
                <c:formatCode>General</c:formatCode>
                <c:ptCount val="200"/>
                <c:pt idx="0">
                  <c:v>2.5000000000000001E-2</c:v>
                </c:pt>
                <c:pt idx="1">
                  <c:v>7.5000000000000011E-2</c:v>
                </c:pt>
                <c:pt idx="2">
                  <c:v>0.125</c:v>
                </c:pt>
                <c:pt idx="3">
                  <c:v>0.17499999999999999</c:v>
                </c:pt>
                <c:pt idx="4">
                  <c:v>0.22499999999999998</c:v>
                </c:pt>
                <c:pt idx="5">
                  <c:v>0.27499999999999997</c:v>
                </c:pt>
                <c:pt idx="6">
                  <c:v>0.32499999999999996</c:v>
                </c:pt>
                <c:pt idx="7">
                  <c:v>0.37499999999999994</c:v>
                </c:pt>
                <c:pt idx="8">
                  <c:v>0.42499999999999993</c:v>
                </c:pt>
                <c:pt idx="9">
                  <c:v>0.47499999999999992</c:v>
                </c:pt>
                <c:pt idx="10">
                  <c:v>0.52499999999999991</c:v>
                </c:pt>
                <c:pt idx="11">
                  <c:v>0.57499999999999996</c:v>
                </c:pt>
                <c:pt idx="12">
                  <c:v>0.625</c:v>
                </c:pt>
                <c:pt idx="13">
                  <c:v>0.67500000000000004</c:v>
                </c:pt>
                <c:pt idx="14">
                  <c:v>0.72500000000000009</c:v>
                </c:pt>
                <c:pt idx="15">
                  <c:v>0.77500000000000013</c:v>
                </c:pt>
                <c:pt idx="16">
                  <c:v>0.82500000000000018</c:v>
                </c:pt>
                <c:pt idx="17">
                  <c:v>0.87500000000000022</c:v>
                </c:pt>
                <c:pt idx="18">
                  <c:v>0.92500000000000027</c:v>
                </c:pt>
                <c:pt idx="19">
                  <c:v>0.97500000000000031</c:v>
                </c:pt>
                <c:pt idx="20">
                  <c:v>1.0250000000000004</c:v>
                </c:pt>
                <c:pt idx="21">
                  <c:v>1.0750000000000004</c:v>
                </c:pt>
                <c:pt idx="22">
                  <c:v>1.1250000000000004</c:v>
                </c:pt>
                <c:pt idx="23">
                  <c:v>1.1750000000000005</c:v>
                </c:pt>
                <c:pt idx="24">
                  <c:v>1.2250000000000005</c:v>
                </c:pt>
                <c:pt idx="25">
                  <c:v>1.2750000000000006</c:v>
                </c:pt>
                <c:pt idx="26">
                  <c:v>1.3250000000000006</c:v>
                </c:pt>
                <c:pt idx="27">
                  <c:v>1.3750000000000007</c:v>
                </c:pt>
                <c:pt idx="28">
                  <c:v>1.4250000000000007</c:v>
                </c:pt>
                <c:pt idx="29">
                  <c:v>1.4750000000000008</c:v>
                </c:pt>
                <c:pt idx="30">
                  <c:v>1.5250000000000008</c:v>
                </c:pt>
                <c:pt idx="31">
                  <c:v>1.5750000000000008</c:v>
                </c:pt>
                <c:pt idx="32">
                  <c:v>1.6250000000000009</c:v>
                </c:pt>
                <c:pt idx="33">
                  <c:v>1.6750000000000009</c:v>
                </c:pt>
                <c:pt idx="34">
                  <c:v>1.725000000000001</c:v>
                </c:pt>
                <c:pt idx="35">
                  <c:v>1.775000000000001</c:v>
                </c:pt>
                <c:pt idx="36">
                  <c:v>1.8250000000000011</c:v>
                </c:pt>
                <c:pt idx="37">
                  <c:v>1.8750000000000011</c:v>
                </c:pt>
                <c:pt idx="38">
                  <c:v>1.9250000000000012</c:v>
                </c:pt>
                <c:pt idx="39">
                  <c:v>1.9750000000000012</c:v>
                </c:pt>
                <c:pt idx="40">
                  <c:v>2.0250000000000012</c:v>
                </c:pt>
                <c:pt idx="41">
                  <c:v>2.0750000000000011</c:v>
                </c:pt>
                <c:pt idx="42">
                  <c:v>2.1250000000000009</c:v>
                </c:pt>
                <c:pt idx="43">
                  <c:v>2.1750000000000007</c:v>
                </c:pt>
                <c:pt idx="44">
                  <c:v>2.2250000000000005</c:v>
                </c:pt>
                <c:pt idx="45">
                  <c:v>2.2750000000000004</c:v>
                </c:pt>
                <c:pt idx="46">
                  <c:v>2.3250000000000002</c:v>
                </c:pt>
                <c:pt idx="47">
                  <c:v>2.375</c:v>
                </c:pt>
                <c:pt idx="48">
                  <c:v>2.4249999999999998</c:v>
                </c:pt>
                <c:pt idx="49">
                  <c:v>2.4749999999999996</c:v>
                </c:pt>
                <c:pt idx="50">
                  <c:v>2.5249999999999995</c:v>
                </c:pt>
                <c:pt idx="51">
                  <c:v>2.5749999999999993</c:v>
                </c:pt>
                <c:pt idx="52">
                  <c:v>2.6249999999999991</c:v>
                </c:pt>
                <c:pt idx="53">
                  <c:v>2.6749999999999989</c:v>
                </c:pt>
                <c:pt idx="54">
                  <c:v>2.7249999999999988</c:v>
                </c:pt>
                <c:pt idx="55">
                  <c:v>2.7749999999999986</c:v>
                </c:pt>
                <c:pt idx="56">
                  <c:v>2.8249999999999984</c:v>
                </c:pt>
                <c:pt idx="57">
                  <c:v>2.8749999999999982</c:v>
                </c:pt>
                <c:pt idx="58">
                  <c:v>2.924999999999998</c:v>
                </c:pt>
                <c:pt idx="59">
                  <c:v>2.9749999999999979</c:v>
                </c:pt>
                <c:pt idx="60">
                  <c:v>3.0249999999999977</c:v>
                </c:pt>
                <c:pt idx="61">
                  <c:v>3.0749999999999975</c:v>
                </c:pt>
                <c:pt idx="62">
                  <c:v>3.1249999999999973</c:v>
                </c:pt>
                <c:pt idx="63">
                  <c:v>3.1749999999999972</c:v>
                </c:pt>
                <c:pt idx="64">
                  <c:v>3.224999999999997</c:v>
                </c:pt>
                <c:pt idx="65">
                  <c:v>3.2749999999999968</c:v>
                </c:pt>
                <c:pt idx="66">
                  <c:v>3.3249999999999966</c:v>
                </c:pt>
                <c:pt idx="67">
                  <c:v>3.3749999999999964</c:v>
                </c:pt>
                <c:pt idx="68">
                  <c:v>3.4249999999999963</c:v>
                </c:pt>
                <c:pt idx="69">
                  <c:v>3.4749999999999961</c:v>
                </c:pt>
                <c:pt idx="70">
                  <c:v>3.5249999999999959</c:v>
                </c:pt>
                <c:pt idx="71">
                  <c:v>3.5749999999999957</c:v>
                </c:pt>
                <c:pt idx="72">
                  <c:v>3.6249999999999956</c:v>
                </c:pt>
                <c:pt idx="73">
                  <c:v>3.6749999999999954</c:v>
                </c:pt>
                <c:pt idx="74">
                  <c:v>3.7249999999999952</c:v>
                </c:pt>
                <c:pt idx="75">
                  <c:v>3.774999999999995</c:v>
                </c:pt>
                <c:pt idx="76">
                  <c:v>3.8249999999999948</c:v>
                </c:pt>
                <c:pt idx="77">
                  <c:v>3.8749999999999947</c:v>
                </c:pt>
                <c:pt idx="78">
                  <c:v>3.9249999999999945</c:v>
                </c:pt>
                <c:pt idx="79">
                  <c:v>3.9749999999999943</c:v>
                </c:pt>
                <c:pt idx="80">
                  <c:v>4.0249999999999941</c:v>
                </c:pt>
                <c:pt idx="81">
                  <c:v>4.074999999999994</c:v>
                </c:pt>
                <c:pt idx="82">
                  <c:v>4.1249999999999938</c:v>
                </c:pt>
                <c:pt idx="83">
                  <c:v>4.1749999999999936</c:v>
                </c:pt>
                <c:pt idx="84">
                  <c:v>4.2249999999999934</c:v>
                </c:pt>
                <c:pt idx="85">
                  <c:v>4.2749999999999932</c:v>
                </c:pt>
                <c:pt idx="86">
                  <c:v>4.3249999999999931</c:v>
                </c:pt>
                <c:pt idx="87">
                  <c:v>4.3749999999999929</c:v>
                </c:pt>
                <c:pt idx="88">
                  <c:v>4.4249999999999927</c:v>
                </c:pt>
                <c:pt idx="89">
                  <c:v>4.4749999999999925</c:v>
                </c:pt>
                <c:pt idx="90">
                  <c:v>4.5249999999999924</c:v>
                </c:pt>
                <c:pt idx="91">
                  <c:v>4.5749999999999922</c:v>
                </c:pt>
                <c:pt idx="92">
                  <c:v>4.624999999999992</c:v>
                </c:pt>
                <c:pt idx="93">
                  <c:v>4.6749999999999918</c:v>
                </c:pt>
                <c:pt idx="94">
                  <c:v>4.7249999999999917</c:v>
                </c:pt>
                <c:pt idx="95">
                  <c:v>4.7749999999999915</c:v>
                </c:pt>
                <c:pt idx="96">
                  <c:v>4.8249999999999913</c:v>
                </c:pt>
                <c:pt idx="97">
                  <c:v>4.8749999999999911</c:v>
                </c:pt>
                <c:pt idx="98">
                  <c:v>4.9249999999999909</c:v>
                </c:pt>
                <c:pt idx="99">
                  <c:v>4.9749999999999908</c:v>
                </c:pt>
                <c:pt idx="100">
                  <c:v>5.0249999999999906</c:v>
                </c:pt>
                <c:pt idx="101">
                  <c:v>5.0749999999999904</c:v>
                </c:pt>
                <c:pt idx="102">
                  <c:v>5.1249999999999902</c:v>
                </c:pt>
                <c:pt idx="103">
                  <c:v>5.1749999999999901</c:v>
                </c:pt>
                <c:pt idx="104">
                  <c:v>5.2249999999999899</c:v>
                </c:pt>
                <c:pt idx="105">
                  <c:v>5.2749999999999897</c:v>
                </c:pt>
                <c:pt idx="106">
                  <c:v>5.3249999999999895</c:v>
                </c:pt>
                <c:pt idx="107">
                  <c:v>5.3749999999999893</c:v>
                </c:pt>
                <c:pt idx="108">
                  <c:v>5.4249999999999892</c:v>
                </c:pt>
                <c:pt idx="109">
                  <c:v>5.474999999999989</c:v>
                </c:pt>
                <c:pt idx="110">
                  <c:v>5.5249999999999888</c:v>
                </c:pt>
                <c:pt idx="111">
                  <c:v>5.5749999999999886</c:v>
                </c:pt>
                <c:pt idx="112">
                  <c:v>5.6249999999999885</c:v>
                </c:pt>
                <c:pt idx="113">
                  <c:v>5.6749999999999883</c:v>
                </c:pt>
                <c:pt idx="114">
                  <c:v>5.7249999999999881</c:v>
                </c:pt>
                <c:pt idx="115">
                  <c:v>5.7749999999999879</c:v>
                </c:pt>
                <c:pt idx="116">
                  <c:v>5.8249999999999877</c:v>
                </c:pt>
                <c:pt idx="117">
                  <c:v>5.8749999999999876</c:v>
                </c:pt>
                <c:pt idx="118">
                  <c:v>5.9249999999999874</c:v>
                </c:pt>
                <c:pt idx="119">
                  <c:v>5.9749999999999872</c:v>
                </c:pt>
                <c:pt idx="120">
                  <c:v>6.024999999999987</c:v>
                </c:pt>
                <c:pt idx="121">
                  <c:v>6.0749999999999869</c:v>
                </c:pt>
                <c:pt idx="122">
                  <c:v>6.1249999999999867</c:v>
                </c:pt>
                <c:pt idx="123">
                  <c:v>6.1749999999999865</c:v>
                </c:pt>
                <c:pt idx="124">
                  <c:v>6.2249999999999863</c:v>
                </c:pt>
                <c:pt idx="125">
                  <c:v>6.2749999999999861</c:v>
                </c:pt>
                <c:pt idx="126">
                  <c:v>6.324999999999986</c:v>
                </c:pt>
                <c:pt idx="127">
                  <c:v>6.3749999999999858</c:v>
                </c:pt>
                <c:pt idx="128">
                  <c:v>6.4249999999999856</c:v>
                </c:pt>
                <c:pt idx="129">
                  <c:v>6.4749999999999854</c:v>
                </c:pt>
                <c:pt idx="130">
                  <c:v>6.5249999999999853</c:v>
                </c:pt>
                <c:pt idx="131">
                  <c:v>6.5749999999999851</c:v>
                </c:pt>
                <c:pt idx="132">
                  <c:v>6.6249999999999849</c:v>
                </c:pt>
                <c:pt idx="133">
                  <c:v>6.6749999999999847</c:v>
                </c:pt>
                <c:pt idx="134">
                  <c:v>6.7249999999999845</c:v>
                </c:pt>
                <c:pt idx="135">
                  <c:v>6.7749999999999844</c:v>
                </c:pt>
                <c:pt idx="136">
                  <c:v>6.8249999999999842</c:v>
                </c:pt>
                <c:pt idx="137">
                  <c:v>6.874999999999984</c:v>
                </c:pt>
                <c:pt idx="138">
                  <c:v>6.9249999999999838</c:v>
                </c:pt>
                <c:pt idx="139">
                  <c:v>6.9749999999999837</c:v>
                </c:pt>
                <c:pt idx="140">
                  <c:v>7.0249999999999835</c:v>
                </c:pt>
                <c:pt idx="141">
                  <c:v>7.0749999999999833</c:v>
                </c:pt>
                <c:pt idx="142">
                  <c:v>7.1249999999999831</c:v>
                </c:pt>
                <c:pt idx="143">
                  <c:v>7.1749999999999829</c:v>
                </c:pt>
                <c:pt idx="144">
                  <c:v>7.2249999999999828</c:v>
                </c:pt>
                <c:pt idx="145">
                  <c:v>7.2749999999999826</c:v>
                </c:pt>
                <c:pt idx="146">
                  <c:v>7.3249999999999824</c:v>
                </c:pt>
                <c:pt idx="147">
                  <c:v>7.3749999999999822</c:v>
                </c:pt>
                <c:pt idx="148">
                  <c:v>7.4249999999999821</c:v>
                </c:pt>
                <c:pt idx="149">
                  <c:v>7.4749999999999819</c:v>
                </c:pt>
                <c:pt idx="150">
                  <c:v>7.5249999999999817</c:v>
                </c:pt>
                <c:pt idx="151">
                  <c:v>7.5749999999999815</c:v>
                </c:pt>
                <c:pt idx="152">
                  <c:v>7.6249999999999813</c:v>
                </c:pt>
                <c:pt idx="153">
                  <c:v>7.6749999999999812</c:v>
                </c:pt>
                <c:pt idx="154">
                  <c:v>7.724999999999981</c:v>
                </c:pt>
                <c:pt idx="155">
                  <c:v>7.7749999999999808</c:v>
                </c:pt>
                <c:pt idx="156">
                  <c:v>7.8249999999999806</c:v>
                </c:pt>
                <c:pt idx="157">
                  <c:v>7.8749999999999805</c:v>
                </c:pt>
                <c:pt idx="158">
                  <c:v>7.9249999999999803</c:v>
                </c:pt>
                <c:pt idx="159">
                  <c:v>7.9749999999999801</c:v>
                </c:pt>
                <c:pt idx="160">
                  <c:v>8.0249999999999808</c:v>
                </c:pt>
                <c:pt idx="161">
                  <c:v>8.0749999999999815</c:v>
                </c:pt>
                <c:pt idx="162">
                  <c:v>8.1249999999999822</c:v>
                </c:pt>
                <c:pt idx="163">
                  <c:v>8.1749999999999829</c:v>
                </c:pt>
                <c:pt idx="164">
                  <c:v>8.2249999999999837</c:v>
                </c:pt>
                <c:pt idx="165">
                  <c:v>8.2749999999999844</c:v>
                </c:pt>
                <c:pt idx="166">
                  <c:v>8.3249999999999851</c:v>
                </c:pt>
                <c:pt idx="167">
                  <c:v>8.3749999999999858</c:v>
                </c:pt>
                <c:pt idx="168">
                  <c:v>8.4249999999999865</c:v>
                </c:pt>
                <c:pt idx="169">
                  <c:v>8.4749999999999872</c:v>
                </c:pt>
                <c:pt idx="170">
                  <c:v>8.5249999999999879</c:v>
                </c:pt>
                <c:pt idx="171">
                  <c:v>8.5749999999999886</c:v>
                </c:pt>
                <c:pt idx="172">
                  <c:v>8.6249999999999893</c:v>
                </c:pt>
                <c:pt idx="173">
                  <c:v>8.6749999999999901</c:v>
                </c:pt>
                <c:pt idx="174">
                  <c:v>8.7249999999999908</c:v>
                </c:pt>
                <c:pt idx="175">
                  <c:v>8.7749999999999915</c:v>
                </c:pt>
                <c:pt idx="176">
                  <c:v>8.8249999999999922</c:v>
                </c:pt>
                <c:pt idx="177">
                  <c:v>8.8749999999999929</c:v>
                </c:pt>
                <c:pt idx="178">
                  <c:v>8.9249999999999936</c:v>
                </c:pt>
                <c:pt idx="179">
                  <c:v>8.9749999999999943</c:v>
                </c:pt>
                <c:pt idx="180">
                  <c:v>9.024999999999995</c:v>
                </c:pt>
                <c:pt idx="181">
                  <c:v>9.0749999999999957</c:v>
                </c:pt>
                <c:pt idx="182">
                  <c:v>9.1249999999999964</c:v>
                </c:pt>
                <c:pt idx="183">
                  <c:v>9.1749999999999972</c:v>
                </c:pt>
                <c:pt idx="184">
                  <c:v>9.2249999999999979</c:v>
                </c:pt>
                <c:pt idx="185">
                  <c:v>9.2749999999999986</c:v>
                </c:pt>
                <c:pt idx="186">
                  <c:v>9.3249999999999993</c:v>
                </c:pt>
                <c:pt idx="187">
                  <c:v>9.375</c:v>
                </c:pt>
                <c:pt idx="188">
                  <c:v>9.4250000000000007</c:v>
                </c:pt>
                <c:pt idx="189">
                  <c:v>9.4750000000000014</c:v>
                </c:pt>
                <c:pt idx="190">
                  <c:v>9.5250000000000021</c:v>
                </c:pt>
                <c:pt idx="191">
                  <c:v>9.5750000000000028</c:v>
                </c:pt>
                <c:pt idx="192">
                  <c:v>9.6250000000000036</c:v>
                </c:pt>
                <c:pt idx="193">
                  <c:v>9.6750000000000043</c:v>
                </c:pt>
                <c:pt idx="194">
                  <c:v>9.725000000000005</c:v>
                </c:pt>
                <c:pt idx="195">
                  <c:v>9.7750000000000057</c:v>
                </c:pt>
                <c:pt idx="196">
                  <c:v>9.8250000000000064</c:v>
                </c:pt>
                <c:pt idx="197">
                  <c:v>9.8750000000000071</c:v>
                </c:pt>
                <c:pt idx="198">
                  <c:v>9.9250000000000078</c:v>
                </c:pt>
                <c:pt idx="199">
                  <c:v>9.9750000000000085</c:v>
                </c:pt>
              </c:numCache>
            </c:numRef>
          </c:xVal>
          <c:yVal>
            <c:numRef>
              <c:f>Main!$D$5:$D$204</c:f>
              <c:numCache>
                <c:formatCode>General</c:formatCode>
                <c:ptCount val="200"/>
                <c:pt idx="0">
                  <c:v>0.99968756834363148</c:v>
                </c:pt>
                <c:pt idx="1">
                  <c:v>0.99719302565314838</c:v>
                </c:pt>
                <c:pt idx="2">
                  <c:v>0.99222997994881146</c:v>
                </c:pt>
                <c:pt idx="3">
                  <c:v>0.98484979859726374</c:v>
                </c:pt>
                <c:pt idx="4">
                  <c:v>0.97512778820482804</c:v>
                </c:pt>
                <c:pt idx="5">
                  <c:v>0.96316119792491228</c:v>
                </c:pt>
                <c:pt idx="6">
                  <c:v>0.94906671012036226</c:v>
                </c:pt>
                <c:pt idx="7">
                  <c:v>0.93297753413305662</c:v>
                </c:pt>
                <c:pt idx="8">
                  <c:v>0.91504023073283469</c:v>
                </c:pt>
                <c:pt idx="9">
                  <c:v>0.89541139803927294</c:v>
                </c:pt>
                <c:pt idx="10">
                  <c:v>0.87425434487408027</c:v>
                </c:pt>
                <c:pt idx="11">
                  <c:v>0.85173586581054594</c:v>
                </c:pt>
                <c:pt idx="12">
                  <c:v>0.8280232152935475</c:v>
                </c:pt>
                <c:pt idx="13">
                  <c:v>0.80328135798204037</c:v>
                </c:pt>
                <c:pt idx="14">
                  <c:v>0.777670550785168</c:v>
                </c:pt>
                <c:pt idx="15">
                  <c:v>0.75134429060576291</c:v>
                </c:pt>
                <c:pt idx="16">
                  <c:v>0.72444764193956845</c:v>
                </c:pt>
                <c:pt idx="17">
                  <c:v>0.69711594119255227</c:v>
                </c:pt>
                <c:pt idx="18">
                  <c:v>0.66947386046785029</c:v>
                </c:pt>
                <c:pt idx="19">
                  <c:v>0.6416348028743879</c:v>
                </c:pt>
                <c:pt idx="20">
                  <c:v>0.61370059405969823</c:v>
                </c:pt>
                <c:pt idx="21">
                  <c:v>0.58576143038684669</c:v>
                </c:pt>
                <c:pt idx="22">
                  <c:v>0.55789604253279568</c:v>
                </c:pt>
                <c:pt idx="23">
                  <c:v>0.53017203378296873</c:v>
                </c:pt>
                <c:pt idx="24">
                  <c:v>0.50264635441880734</c:v>
                </c:pt>
                <c:pt idx="25">
                  <c:v>0.47536587685406179</c:v>
                </c:pt>
                <c:pt idx="26">
                  <c:v>0.44836804013950354</c:v>
                </c:pt>
                <c:pt idx="27">
                  <c:v>0.42168153676385384</c:v>
                </c:pt>
                <c:pt idx="28">
                  <c:v>0.39532701904602624</c:v>
                </c:pt>
                <c:pt idx="29">
                  <c:v>0.36931780662868069</c:v>
                </c:pt>
                <c:pt idx="30">
                  <c:v>0.3436605804998239</c:v>
                </c:pt>
                <c:pt idx="31">
                  <c:v>0.3183560524979156</c:v>
                </c:pt>
                <c:pt idx="32">
                  <c:v>0.29339960235170287</c:v>
                </c:pt>
                <c:pt idx="33">
                  <c:v>0.26878187695820793</c:v>
                </c:pt>
                <c:pt idx="34">
                  <c:v>0.24448934882503609</c:v>
                </c:pt>
                <c:pt idx="35">
                  <c:v>0.22050483242715244</c:v>
                </c:pt>
                <c:pt idx="36">
                  <c:v>0.19680795869414616</c:v>
                </c:pt>
                <c:pt idx="37">
                  <c:v>0.17337560899725576</c:v>
                </c:pt>
                <c:pt idx="38">
                  <c:v>0.15018231089265191</c:v>
                </c:pt>
                <c:pt idx="39">
                  <c:v>0.12720059854370253</c:v>
                </c:pt>
                <c:pt idx="40">
                  <c:v>0.10440134123193266</c:v>
                </c:pt>
                <c:pt idx="41">
                  <c:v>8.1754043711631072E-2</c:v>
                </c:pt>
                <c:pt idx="42">
                  <c:v>5.9227122399242105E-2</c:v>
                </c:pt>
                <c:pt idx="43">
                  <c:v>3.6788161543620815E-2</c:v>
                </c:pt>
                <c:pt idx="44">
                  <c:v>1.4404153619867566E-2</c:v>
                </c:pt>
                <c:pt idx="45">
                  <c:v>-7.9582717538285649E-3</c:v>
                </c:pt>
                <c:pt idx="46">
                  <c:v>-3.03326260461181E-2</c:v>
                </c:pt>
                <c:pt idx="47">
                  <c:v>-5.2752342844161131E-2</c:v>
                </c:pt>
                <c:pt idx="48">
                  <c:v>-7.5250557337105659E-2</c:v>
                </c:pt>
                <c:pt idx="49">
                  <c:v>-9.7859879904088051E-2</c:v>
                </c:pt>
                <c:pt idx="50">
                  <c:v>-0.12061215947096643</c:v>
                </c:pt>
                <c:pt idx="51">
                  <c:v>-0.14353823232533908</c:v>
                </c:pt>
                <c:pt idx="52">
                  <c:v>-0.16666765212738446</c:v>
                </c:pt>
                <c:pt idx="53">
                  <c:v>-0.19002839693750859</c:v>
                </c:pt>
                <c:pt idx="54">
                  <c:v>-0.21364654921777088</c:v>
                </c:pt>
                <c:pt idx="55">
                  <c:v>-0.23754594497419673</c:v>
                </c:pt>
                <c:pt idx="56">
                  <c:v>-0.26174778851775288</c:v>
                </c:pt>
                <c:pt idx="57">
                  <c:v>-0.28627022976425931</c:v>
                </c:pt>
                <c:pt idx="58">
                  <c:v>-0.31112790160396847</c:v>
                </c:pt>
                <c:pt idx="59">
                  <c:v>-0.33633141569057134</c:v>
                </c:pt>
                <c:pt idx="60">
                  <c:v>-0.36188681607122175</c:v>
                </c:pt>
                <c:pt idx="61">
                  <c:v>-0.3877949914501656</c:v>
                </c:pt>
                <c:pt idx="62">
                  <c:v>-0.41405104859485992</c:v>
                </c:pt>
                <c:pt idx="63">
                  <c:v>-0.44064365149758655</c:v>
                </c:pt>
                <c:pt idx="64">
                  <c:v>-0.46755433343167657</c:v>
                </c:pt>
                <c:pt idx="65">
                  <c:v>-0.49475679200920186</c:v>
                </c:pt>
                <c:pt idx="66">
                  <c:v>-0.52221618075385123</c:v>
                </c:pt>
                <c:pt idx="67">
                  <c:v>-0.54988841451463166</c:v>
                </c:pt>
                <c:pt idx="68">
                  <c:v>-0.57771951018729584</c:v>
                </c:pt>
                <c:pt idx="69">
                  <c:v>-0.605644988552409</c:v>
                </c:pt>
                <c:pt idx="70">
                  <c:v>-0.63358936739002725</c:v>
                </c:pt>
                <c:pt idx="71">
                  <c:v>-0.66146578012779678</c:v>
                </c:pt>
                <c:pt idx="72">
                  <c:v>-0.6891757577827633</c:v>
                </c:pt>
                <c:pt idx="73">
                  <c:v>-0.71660921445488612</c:v>
                </c:pt>
                <c:pt idx="74">
                  <c:v>-0.74364467764821396</c:v>
                </c:pt>
                <c:pt idx="75">
                  <c:v>-0.77014980372282671</c:v>
                </c:pt>
                <c:pt idx="76">
                  <c:v>-0.79598221530716717</c:v>
                </c:pt>
                <c:pt idx="77">
                  <c:v>-0.82099069107158951</c:v>
                </c:pt>
                <c:pt idx="78">
                  <c:v>-0.8450167285475142</c:v>
                </c:pt>
                <c:pt idx="79">
                  <c:v>-0.86789648753915516</c:v>
                </c:pt>
                <c:pt idx="80">
                  <c:v>-0.88946310525960459</c:v>
                </c:pt>
                <c:pt idx="81">
                  <c:v>-0.90954935511724289</c:v>
                </c:pt>
                <c:pt idx="82">
                  <c:v>-0.92799059995555577</c:v>
                </c:pt>
                <c:pt idx="83">
                  <c:v>-0.94462796877241262</c:v>
                </c:pt>
                <c:pt idx="84">
                  <c:v>-0.95931166511617649</c:v>
                </c:pt>
                <c:pt idx="85">
                  <c:v>-0.97190429730781946</c:v>
                </c:pt>
                <c:pt idx="86">
                  <c:v>-0.98228410726397986</c:v>
                </c:pt>
                <c:pt idx="87">
                  <c:v>-0.99034796773680978</c:v>
                </c:pt>
                <c:pt idx="88">
                  <c:v>-0.99601401859769667</c:v>
                </c:pt>
                <c:pt idx="89">
                  <c:v>-0.99922382212330785</c:v>
                </c:pt>
                <c:pt idx="90">
                  <c:v>-0.99994393507222723</c:v>
                </c:pt>
                <c:pt idx="91">
                  <c:v>-0.99816682079779839</c:v>
                </c:pt>
                <c:pt idx="92">
                  <c:v>-0.99391105604157559</c:v>
                </c:pt>
                <c:pt idx="93">
                  <c:v>-0.98722082204190986</c:v>
                </c:pt>
                <c:pt idx="94">
                  <c:v>-0.97816470541115297</c:v>
                </c:pt>
                <c:pt idx="95">
                  <c:v>-0.96683386802395732</c:v>
                </c:pt>
                <c:pt idx="96">
                  <c:v>-0.95333967429450184</c:v>
                </c:pt>
                <c:pt idx="97">
                  <c:v>-0.937810886607787</c:v>
                </c:pt>
                <c:pt idx="98">
                  <c:v>-0.92039055395683922</c:v>
                </c:pt>
                <c:pt idx="99">
                  <c:v>-0.90123272451517789</c:v>
                </c:pt>
                <c:pt idx="100">
                  <c:v>-0.88049911026265459</c:v>
                </c:pt>
                <c:pt idx="101">
                  <c:v>-0.85835582191325133</c:v>
                </c:pt>
                <c:pt idx="102">
                  <c:v>-0.83497027681277269</c:v>
                </c:pt>
                <c:pt idx="103">
                  <c:v>-0.81050836301635854</c:v>
                </c:pt>
                <c:pt idx="104">
                  <c:v>-0.78513192131177378</c:v>
                </c:pt>
                <c:pt idx="105">
                  <c:v>-0.758996585276693</c:v>
                </c:pt>
                <c:pt idx="106">
                  <c:v>-0.73224999901520926</c:v>
                </c:pt>
                <c:pt idx="107">
                  <c:v>-0.70503041411133571</c:v>
                </c:pt>
                <c:pt idx="108">
                  <c:v>-0.67746565227223132</c:v>
                </c:pt>
                <c:pt idx="109">
                  <c:v>-0.6496724084457528</c:v>
                </c:pt>
                <c:pt idx="110">
                  <c:v>-0.62175586090266166</c:v>
                </c:pt>
                <c:pt idx="111">
                  <c:v>-0.59380954964615706</c:v>
                </c:pt>
                <c:pt idx="112">
                  <c:v>-0.56591548215721721</c:v>
                </c:pt>
                <c:pt idx="113">
                  <c:v>-0.53814442541801033</c:v>
                </c:pt>
                <c:pt idx="114">
                  <c:v>-0.51055634486134327</c:v>
                </c:pt>
                <c:pt idx="115">
                  <c:v>-0.48320095387252393</c:v>
                </c:pt>
                <c:pt idx="116">
                  <c:v>-0.45611834127110051</c:v>
                </c:pt>
                <c:pt idx="117">
                  <c:v>-0.42933964844141892</c:v>
                </c:pt>
                <c:pt idx="118">
                  <c:v>-0.4028877721560169</c:v>
                </c:pt>
                <c:pt idx="119">
                  <c:v>-0.37677807341237285</c:v>
                </c:pt>
                <c:pt idx="120">
                  <c:v>-0.35101907661766907</c:v>
                </c:pt>
                <c:pt idx="121">
                  <c:v>-0.32561314710317496</c:v>
                </c:pt>
                <c:pt idx="122">
                  <c:v>-0.30055713817280777</c:v>
                </c:pt>
                <c:pt idx="123">
                  <c:v>-0.27584300166994091</c:v>
                </c:pt>
                <c:pt idx="124">
                  <c:v>-0.25145835839049913</c:v>
                </c:pt>
                <c:pt idx="125">
                  <c:v>-0.22738702660544804</c:v>
                </c:pt>
                <c:pt idx="126">
                  <c:v>-0.20360950852033069</c:v>
                </c:pt>
                <c:pt idx="127">
                  <c:v>-0.18010343573806839</c:v>
                </c:pt>
                <c:pt idx="128">
                  <c:v>-0.15684397575041825</c:v>
                </c:pt>
                <c:pt idx="129">
                  <c:v>-0.13380420220894512</c:v>
                </c:pt>
                <c:pt idx="130">
                  <c:v>-0.11095543226096678</c:v>
                </c:pt>
                <c:pt idx="131">
                  <c:v>-8.82675346184571E-2</c:v>
                </c:pt>
                <c:pt idx="132">
                  <c:v>-6.5709212292438354E-2</c:v>
                </c:pt>
                <c:pt idx="133">
                  <c:v>-4.3248264101187081E-2</c:v>
                </c:pt>
                <c:pt idx="134">
                  <c:v>-2.0851829171938539E-2</c:v>
                </c:pt>
                <c:pt idx="135">
                  <c:v>1.5133812776309285E-3</c:v>
                </c:pt>
                <c:pt idx="136">
                  <c:v>2.3880860554794551E-2</c:v>
                </c:pt>
                <c:pt idx="137">
                  <c:v>4.6284087162065272E-2</c:v>
                </c:pt>
                <c:pt idx="138">
                  <c:v>6.8756305173055976E-2</c:v>
                </c:pt>
                <c:pt idx="139">
                  <c:v>9.1330299965078895E-2</c:v>
                </c:pt>
                <c:pt idx="140">
                  <c:v>0.11403816496825213</c:v>
                </c:pt>
                <c:pt idx="141">
                  <c:v>0.13691105511149987</c:v>
                </c:pt>
                <c:pt idx="142">
                  <c:v>0.15997892268615835</c:v>
                </c:pt>
                <c:pt idx="143">
                  <c:v>0.18327023141956866</c:v>
                </c:pt>
                <c:pt idx="144">
                  <c:v>0.20681164466986901</c:v>
                </c:pt>
                <c:pt idx="145">
                  <c:v>0.23062768383947102</c:v>
                </c:pt>
                <c:pt idx="146">
                  <c:v>0.2547403533834095</c:v>
                </c:pt>
                <c:pt idx="147">
                  <c:v>0.27916872918975599</c:v>
                </c:pt>
                <c:pt idx="148">
                  <c:v>0.30392850766735835</c:v>
                </c:pt>
                <c:pt idx="149">
                  <c:v>0.32903151363068489</c:v>
                </c:pt>
                <c:pt idx="150">
                  <c:v>0.35448516606582364</c:v>
                </c:pt>
                <c:pt idx="151">
                  <c:v>0.38029190214166425</c:v>
                </c:pt>
                <c:pt idx="152">
                  <c:v>0.40644856144246866</c:v>
                </c:pt>
                <c:pt idx="153">
                  <c:v>0.4329457343864081</c:v>
                </c:pt>
                <c:pt idx="154">
                  <c:v>0.45976708119633963</c:v>
                </c:pt>
                <c:pt idx="155">
                  <c:v>0.48688863062868226</c:v>
                </c:pt>
                <c:pt idx="156">
                  <c:v>0.51427807094845979</c:v>
                </c:pt>
                <c:pt idx="157">
                  <c:v>0.5418940493394937</c:v>
                </c:pt>
                <c:pt idx="158">
                  <c:v>0.56968549999571616</c:v>
                </c:pt>
                <c:pt idx="159">
                  <c:v>0.59759102544043352</c:v>
                </c:pt>
                <c:pt idx="160">
                  <c:v>0.62553835999255136</c:v>
                </c:pt>
                <c:pt idx="161">
                  <c:v>0.65344394850028698</c:v>
                </c:pt>
                <c:pt idx="162">
                  <c:v>0.68121267717662182</c:v>
                </c:pt>
                <c:pt idx="163">
                  <c:v>0.70873779620454458</c:v>
                </c:pt>
                <c:pt idx="164">
                  <c:v>0.73590107527598869</c:v>
                </c:pt>
                <c:pt idx="165">
                  <c:v>0.76257323288251189</c:v>
                </c:pt>
                <c:pt idx="166">
                  <c:v>0.78861467747323466</c:v>
                </c:pt>
                <c:pt idx="167">
                  <c:v>0.81387659305938165</c:v>
                </c:pt>
                <c:pt idx="168">
                  <c:v>0.83820239309980582</c:v>
                </c:pt>
                <c:pt idx="169">
                  <c:v>0.86142955434933066</c:v>
                </c:pt>
                <c:pt idx="170">
                  <c:v>0.88339182684750683</c:v>
                </c:pt>
                <c:pt idx="171">
                  <c:v>0.90392179775173476</c:v>
                </c:pt>
                <c:pt idx="172">
                  <c:v>0.92285376603550828</c:v>
                </c:pt>
                <c:pt idx="173">
                  <c:v>0.94002686333307983</c:v>
                </c:pt>
                <c:pt idx="174">
                  <c:v>0.95528833492933163</c:v>
                </c:pt>
                <c:pt idx="175">
                  <c:v>0.96849687584883504</c:v>
                </c:pt>
                <c:pt idx="176">
                  <c:v>0.97952590208708468</c:v>
                </c:pt>
                <c:pt idx="177">
                  <c:v>0.98826662805846854</c:v>
                </c:pt>
                <c:pt idx="178">
                  <c:v>0.99463081979993873</c:v>
                </c:pt>
                <c:pt idx="179">
                  <c:v>0.99855310031100031</c:v>
                </c:pt>
                <c:pt idx="180">
                  <c:v>0.99999269884263786</c:v>
                </c:pt>
                <c:pt idx="181">
                  <c:v>0.99893455934569542</c:v>
                </c:pt>
                <c:pt idx="182">
                  <c:v>0.99538975319140999</c:v>
                </c:pt>
                <c:pt idx="183">
                  <c:v>0.98939517550262368</c:v>
                </c:pt>
                <c:pt idx="184">
                  <c:v>0.98101254030959228</c:v>
                </c:pt>
                <c:pt idx="185">
                  <c:v>0.97032672440390511</c:v>
                </c:pt>
                <c:pt idx="186">
                  <c:v>0.95744354048361702</c:v>
                </c:pt>
                <c:pt idx="187">
                  <c:v>0.94248704468924271</c:v>
                </c:pt>
                <c:pt idx="188">
                  <c:v>0.92559650034171326</c:v>
                </c:pt>
                <c:pt idx="189">
                  <c:v>0.90692312785439355</c:v>
                </c:pt>
                <c:pt idx="190">
                  <c:v>0.88662677049138261</c:v>
                </c:pt>
                <c:pt idx="191">
                  <c:v>0.86487259772660896</c:v>
                </c:pt>
                <c:pt idx="192">
                  <c:v>0.84182795384367115</c:v>
                </c:pt>
                <c:pt idx="193">
                  <c:v>0.81765944088031184</c:v>
                </c:pt>
                <c:pt idx="194">
                  <c:v>0.79253030396073709</c:v>
                </c:pt>
                <c:pt idx="195">
                  <c:v>0.76659816528339308</c:v>
                </c:pt>
                <c:pt idx="196">
                  <c:v>0.74001313210287623</c:v>
                </c:pt>
                <c:pt idx="197">
                  <c:v>0.71291628517425498</c:v>
                </c:pt>
                <c:pt idx="198">
                  <c:v>0.68543853813627376</c:v>
                </c:pt>
                <c:pt idx="199">
                  <c:v>0.65769984563405637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54-453A-9ED2-A1AE2EC437D9}"/>
            </c:ext>
          </c:extLst>
        </c:ser>
        <c:ser>
          <c:idx val="2"/>
          <c:order val="2"/>
          <c:tx>
            <c:v>Dn</c:v>
          </c:tx>
          <c:marker>
            <c:symbol val="circle"/>
            <c:size val="3"/>
          </c:marker>
          <c:xVal>
            <c:numRef>
              <c:f>Main!$B$5:$B$204</c:f>
              <c:numCache>
                <c:formatCode>General</c:formatCode>
                <c:ptCount val="200"/>
                <c:pt idx="0">
                  <c:v>2.5000000000000001E-2</c:v>
                </c:pt>
                <c:pt idx="1">
                  <c:v>7.5000000000000011E-2</c:v>
                </c:pt>
                <c:pt idx="2">
                  <c:v>0.125</c:v>
                </c:pt>
                <c:pt idx="3">
                  <c:v>0.17499999999999999</c:v>
                </c:pt>
                <c:pt idx="4">
                  <c:v>0.22499999999999998</c:v>
                </c:pt>
                <c:pt idx="5">
                  <c:v>0.27499999999999997</c:v>
                </c:pt>
                <c:pt idx="6">
                  <c:v>0.32499999999999996</c:v>
                </c:pt>
                <c:pt idx="7">
                  <c:v>0.37499999999999994</c:v>
                </c:pt>
                <c:pt idx="8">
                  <c:v>0.42499999999999993</c:v>
                </c:pt>
                <c:pt idx="9">
                  <c:v>0.47499999999999992</c:v>
                </c:pt>
                <c:pt idx="10">
                  <c:v>0.52499999999999991</c:v>
                </c:pt>
                <c:pt idx="11">
                  <c:v>0.57499999999999996</c:v>
                </c:pt>
                <c:pt idx="12">
                  <c:v>0.625</c:v>
                </c:pt>
                <c:pt idx="13">
                  <c:v>0.67500000000000004</c:v>
                </c:pt>
                <c:pt idx="14">
                  <c:v>0.72500000000000009</c:v>
                </c:pt>
                <c:pt idx="15">
                  <c:v>0.77500000000000013</c:v>
                </c:pt>
                <c:pt idx="16">
                  <c:v>0.82500000000000018</c:v>
                </c:pt>
                <c:pt idx="17">
                  <c:v>0.87500000000000022</c:v>
                </c:pt>
                <c:pt idx="18">
                  <c:v>0.92500000000000027</c:v>
                </c:pt>
                <c:pt idx="19">
                  <c:v>0.97500000000000031</c:v>
                </c:pt>
                <c:pt idx="20">
                  <c:v>1.0250000000000004</c:v>
                </c:pt>
                <c:pt idx="21">
                  <c:v>1.0750000000000004</c:v>
                </c:pt>
                <c:pt idx="22">
                  <c:v>1.1250000000000004</c:v>
                </c:pt>
                <c:pt idx="23">
                  <c:v>1.1750000000000005</c:v>
                </c:pt>
                <c:pt idx="24">
                  <c:v>1.2250000000000005</c:v>
                </c:pt>
                <c:pt idx="25">
                  <c:v>1.2750000000000006</c:v>
                </c:pt>
                <c:pt idx="26">
                  <c:v>1.3250000000000006</c:v>
                </c:pt>
                <c:pt idx="27">
                  <c:v>1.3750000000000007</c:v>
                </c:pt>
                <c:pt idx="28">
                  <c:v>1.4250000000000007</c:v>
                </c:pt>
                <c:pt idx="29">
                  <c:v>1.4750000000000008</c:v>
                </c:pt>
                <c:pt idx="30">
                  <c:v>1.5250000000000008</c:v>
                </c:pt>
                <c:pt idx="31">
                  <c:v>1.5750000000000008</c:v>
                </c:pt>
                <c:pt idx="32">
                  <c:v>1.6250000000000009</c:v>
                </c:pt>
                <c:pt idx="33">
                  <c:v>1.6750000000000009</c:v>
                </c:pt>
                <c:pt idx="34">
                  <c:v>1.725000000000001</c:v>
                </c:pt>
                <c:pt idx="35">
                  <c:v>1.775000000000001</c:v>
                </c:pt>
                <c:pt idx="36">
                  <c:v>1.8250000000000011</c:v>
                </c:pt>
                <c:pt idx="37">
                  <c:v>1.8750000000000011</c:v>
                </c:pt>
                <c:pt idx="38">
                  <c:v>1.9250000000000012</c:v>
                </c:pt>
                <c:pt idx="39">
                  <c:v>1.9750000000000012</c:v>
                </c:pt>
                <c:pt idx="40">
                  <c:v>2.0250000000000012</c:v>
                </c:pt>
                <c:pt idx="41">
                  <c:v>2.0750000000000011</c:v>
                </c:pt>
                <c:pt idx="42">
                  <c:v>2.1250000000000009</c:v>
                </c:pt>
                <c:pt idx="43">
                  <c:v>2.1750000000000007</c:v>
                </c:pt>
                <c:pt idx="44">
                  <c:v>2.2250000000000005</c:v>
                </c:pt>
                <c:pt idx="45">
                  <c:v>2.2750000000000004</c:v>
                </c:pt>
                <c:pt idx="46">
                  <c:v>2.3250000000000002</c:v>
                </c:pt>
                <c:pt idx="47">
                  <c:v>2.375</c:v>
                </c:pt>
                <c:pt idx="48">
                  <c:v>2.4249999999999998</c:v>
                </c:pt>
                <c:pt idx="49">
                  <c:v>2.4749999999999996</c:v>
                </c:pt>
                <c:pt idx="50">
                  <c:v>2.5249999999999995</c:v>
                </c:pt>
                <c:pt idx="51">
                  <c:v>2.5749999999999993</c:v>
                </c:pt>
                <c:pt idx="52">
                  <c:v>2.6249999999999991</c:v>
                </c:pt>
                <c:pt idx="53">
                  <c:v>2.6749999999999989</c:v>
                </c:pt>
                <c:pt idx="54">
                  <c:v>2.7249999999999988</c:v>
                </c:pt>
                <c:pt idx="55">
                  <c:v>2.7749999999999986</c:v>
                </c:pt>
                <c:pt idx="56">
                  <c:v>2.8249999999999984</c:v>
                </c:pt>
                <c:pt idx="57">
                  <c:v>2.8749999999999982</c:v>
                </c:pt>
                <c:pt idx="58">
                  <c:v>2.924999999999998</c:v>
                </c:pt>
                <c:pt idx="59">
                  <c:v>2.9749999999999979</c:v>
                </c:pt>
                <c:pt idx="60">
                  <c:v>3.0249999999999977</c:v>
                </c:pt>
                <c:pt idx="61">
                  <c:v>3.0749999999999975</c:v>
                </c:pt>
                <c:pt idx="62">
                  <c:v>3.1249999999999973</c:v>
                </c:pt>
                <c:pt idx="63">
                  <c:v>3.1749999999999972</c:v>
                </c:pt>
                <c:pt idx="64">
                  <c:v>3.224999999999997</c:v>
                </c:pt>
                <c:pt idx="65">
                  <c:v>3.2749999999999968</c:v>
                </c:pt>
                <c:pt idx="66">
                  <c:v>3.3249999999999966</c:v>
                </c:pt>
                <c:pt idx="67">
                  <c:v>3.3749999999999964</c:v>
                </c:pt>
                <c:pt idx="68">
                  <c:v>3.4249999999999963</c:v>
                </c:pt>
                <c:pt idx="69">
                  <c:v>3.4749999999999961</c:v>
                </c:pt>
                <c:pt idx="70">
                  <c:v>3.5249999999999959</c:v>
                </c:pt>
                <c:pt idx="71">
                  <c:v>3.5749999999999957</c:v>
                </c:pt>
                <c:pt idx="72">
                  <c:v>3.6249999999999956</c:v>
                </c:pt>
                <c:pt idx="73">
                  <c:v>3.6749999999999954</c:v>
                </c:pt>
                <c:pt idx="74">
                  <c:v>3.7249999999999952</c:v>
                </c:pt>
                <c:pt idx="75">
                  <c:v>3.774999999999995</c:v>
                </c:pt>
                <c:pt idx="76">
                  <c:v>3.8249999999999948</c:v>
                </c:pt>
                <c:pt idx="77">
                  <c:v>3.8749999999999947</c:v>
                </c:pt>
                <c:pt idx="78">
                  <c:v>3.9249999999999945</c:v>
                </c:pt>
                <c:pt idx="79">
                  <c:v>3.9749999999999943</c:v>
                </c:pt>
                <c:pt idx="80">
                  <c:v>4.0249999999999941</c:v>
                </c:pt>
                <c:pt idx="81">
                  <c:v>4.074999999999994</c:v>
                </c:pt>
                <c:pt idx="82">
                  <c:v>4.1249999999999938</c:v>
                </c:pt>
                <c:pt idx="83">
                  <c:v>4.1749999999999936</c:v>
                </c:pt>
                <c:pt idx="84">
                  <c:v>4.2249999999999934</c:v>
                </c:pt>
                <c:pt idx="85">
                  <c:v>4.2749999999999932</c:v>
                </c:pt>
                <c:pt idx="86">
                  <c:v>4.3249999999999931</c:v>
                </c:pt>
                <c:pt idx="87">
                  <c:v>4.3749999999999929</c:v>
                </c:pt>
                <c:pt idx="88">
                  <c:v>4.4249999999999927</c:v>
                </c:pt>
                <c:pt idx="89">
                  <c:v>4.4749999999999925</c:v>
                </c:pt>
                <c:pt idx="90">
                  <c:v>4.5249999999999924</c:v>
                </c:pt>
                <c:pt idx="91">
                  <c:v>4.5749999999999922</c:v>
                </c:pt>
                <c:pt idx="92">
                  <c:v>4.624999999999992</c:v>
                </c:pt>
                <c:pt idx="93">
                  <c:v>4.6749999999999918</c:v>
                </c:pt>
                <c:pt idx="94">
                  <c:v>4.7249999999999917</c:v>
                </c:pt>
                <c:pt idx="95">
                  <c:v>4.7749999999999915</c:v>
                </c:pt>
                <c:pt idx="96">
                  <c:v>4.8249999999999913</c:v>
                </c:pt>
                <c:pt idx="97">
                  <c:v>4.8749999999999911</c:v>
                </c:pt>
                <c:pt idx="98">
                  <c:v>4.9249999999999909</c:v>
                </c:pt>
                <c:pt idx="99">
                  <c:v>4.9749999999999908</c:v>
                </c:pt>
                <c:pt idx="100">
                  <c:v>5.0249999999999906</c:v>
                </c:pt>
                <c:pt idx="101">
                  <c:v>5.0749999999999904</c:v>
                </c:pt>
                <c:pt idx="102">
                  <c:v>5.1249999999999902</c:v>
                </c:pt>
                <c:pt idx="103">
                  <c:v>5.1749999999999901</c:v>
                </c:pt>
                <c:pt idx="104">
                  <c:v>5.2249999999999899</c:v>
                </c:pt>
                <c:pt idx="105">
                  <c:v>5.2749999999999897</c:v>
                </c:pt>
                <c:pt idx="106">
                  <c:v>5.3249999999999895</c:v>
                </c:pt>
                <c:pt idx="107">
                  <c:v>5.3749999999999893</c:v>
                </c:pt>
                <c:pt idx="108">
                  <c:v>5.4249999999999892</c:v>
                </c:pt>
                <c:pt idx="109">
                  <c:v>5.474999999999989</c:v>
                </c:pt>
                <c:pt idx="110">
                  <c:v>5.5249999999999888</c:v>
                </c:pt>
                <c:pt idx="111">
                  <c:v>5.5749999999999886</c:v>
                </c:pt>
                <c:pt idx="112">
                  <c:v>5.6249999999999885</c:v>
                </c:pt>
                <c:pt idx="113">
                  <c:v>5.6749999999999883</c:v>
                </c:pt>
                <c:pt idx="114">
                  <c:v>5.7249999999999881</c:v>
                </c:pt>
                <c:pt idx="115">
                  <c:v>5.7749999999999879</c:v>
                </c:pt>
                <c:pt idx="116">
                  <c:v>5.8249999999999877</c:v>
                </c:pt>
                <c:pt idx="117">
                  <c:v>5.8749999999999876</c:v>
                </c:pt>
                <c:pt idx="118">
                  <c:v>5.9249999999999874</c:v>
                </c:pt>
                <c:pt idx="119">
                  <c:v>5.9749999999999872</c:v>
                </c:pt>
                <c:pt idx="120">
                  <c:v>6.024999999999987</c:v>
                </c:pt>
                <c:pt idx="121">
                  <c:v>6.0749999999999869</c:v>
                </c:pt>
                <c:pt idx="122">
                  <c:v>6.1249999999999867</c:v>
                </c:pt>
                <c:pt idx="123">
                  <c:v>6.1749999999999865</c:v>
                </c:pt>
                <c:pt idx="124">
                  <c:v>6.2249999999999863</c:v>
                </c:pt>
                <c:pt idx="125">
                  <c:v>6.2749999999999861</c:v>
                </c:pt>
                <c:pt idx="126">
                  <c:v>6.324999999999986</c:v>
                </c:pt>
                <c:pt idx="127">
                  <c:v>6.3749999999999858</c:v>
                </c:pt>
                <c:pt idx="128">
                  <c:v>6.4249999999999856</c:v>
                </c:pt>
                <c:pt idx="129">
                  <c:v>6.4749999999999854</c:v>
                </c:pt>
                <c:pt idx="130">
                  <c:v>6.5249999999999853</c:v>
                </c:pt>
                <c:pt idx="131">
                  <c:v>6.5749999999999851</c:v>
                </c:pt>
                <c:pt idx="132">
                  <c:v>6.6249999999999849</c:v>
                </c:pt>
                <c:pt idx="133">
                  <c:v>6.6749999999999847</c:v>
                </c:pt>
                <c:pt idx="134">
                  <c:v>6.7249999999999845</c:v>
                </c:pt>
                <c:pt idx="135">
                  <c:v>6.7749999999999844</c:v>
                </c:pt>
                <c:pt idx="136">
                  <c:v>6.8249999999999842</c:v>
                </c:pt>
                <c:pt idx="137">
                  <c:v>6.874999999999984</c:v>
                </c:pt>
                <c:pt idx="138">
                  <c:v>6.9249999999999838</c:v>
                </c:pt>
                <c:pt idx="139">
                  <c:v>6.9749999999999837</c:v>
                </c:pt>
                <c:pt idx="140">
                  <c:v>7.0249999999999835</c:v>
                </c:pt>
                <c:pt idx="141">
                  <c:v>7.0749999999999833</c:v>
                </c:pt>
                <c:pt idx="142">
                  <c:v>7.1249999999999831</c:v>
                </c:pt>
                <c:pt idx="143">
                  <c:v>7.1749999999999829</c:v>
                </c:pt>
                <c:pt idx="144">
                  <c:v>7.2249999999999828</c:v>
                </c:pt>
                <c:pt idx="145">
                  <c:v>7.2749999999999826</c:v>
                </c:pt>
                <c:pt idx="146">
                  <c:v>7.3249999999999824</c:v>
                </c:pt>
                <c:pt idx="147">
                  <c:v>7.3749999999999822</c:v>
                </c:pt>
                <c:pt idx="148">
                  <c:v>7.4249999999999821</c:v>
                </c:pt>
                <c:pt idx="149">
                  <c:v>7.4749999999999819</c:v>
                </c:pt>
                <c:pt idx="150">
                  <c:v>7.5249999999999817</c:v>
                </c:pt>
                <c:pt idx="151">
                  <c:v>7.5749999999999815</c:v>
                </c:pt>
                <c:pt idx="152">
                  <c:v>7.6249999999999813</c:v>
                </c:pt>
                <c:pt idx="153">
                  <c:v>7.6749999999999812</c:v>
                </c:pt>
                <c:pt idx="154">
                  <c:v>7.724999999999981</c:v>
                </c:pt>
                <c:pt idx="155">
                  <c:v>7.7749999999999808</c:v>
                </c:pt>
                <c:pt idx="156">
                  <c:v>7.8249999999999806</c:v>
                </c:pt>
                <c:pt idx="157">
                  <c:v>7.8749999999999805</c:v>
                </c:pt>
                <c:pt idx="158">
                  <c:v>7.9249999999999803</c:v>
                </c:pt>
                <c:pt idx="159">
                  <c:v>7.9749999999999801</c:v>
                </c:pt>
                <c:pt idx="160">
                  <c:v>8.0249999999999808</c:v>
                </c:pt>
                <c:pt idx="161">
                  <c:v>8.0749999999999815</c:v>
                </c:pt>
                <c:pt idx="162">
                  <c:v>8.1249999999999822</c:v>
                </c:pt>
                <c:pt idx="163">
                  <c:v>8.1749999999999829</c:v>
                </c:pt>
                <c:pt idx="164">
                  <c:v>8.2249999999999837</c:v>
                </c:pt>
                <c:pt idx="165">
                  <c:v>8.2749999999999844</c:v>
                </c:pt>
                <c:pt idx="166">
                  <c:v>8.3249999999999851</c:v>
                </c:pt>
                <c:pt idx="167">
                  <c:v>8.3749999999999858</c:v>
                </c:pt>
                <c:pt idx="168">
                  <c:v>8.4249999999999865</c:v>
                </c:pt>
                <c:pt idx="169">
                  <c:v>8.4749999999999872</c:v>
                </c:pt>
                <c:pt idx="170">
                  <c:v>8.5249999999999879</c:v>
                </c:pt>
                <c:pt idx="171">
                  <c:v>8.5749999999999886</c:v>
                </c:pt>
                <c:pt idx="172">
                  <c:v>8.6249999999999893</c:v>
                </c:pt>
                <c:pt idx="173">
                  <c:v>8.6749999999999901</c:v>
                </c:pt>
                <c:pt idx="174">
                  <c:v>8.7249999999999908</c:v>
                </c:pt>
                <c:pt idx="175">
                  <c:v>8.7749999999999915</c:v>
                </c:pt>
                <c:pt idx="176">
                  <c:v>8.8249999999999922</c:v>
                </c:pt>
                <c:pt idx="177">
                  <c:v>8.8749999999999929</c:v>
                </c:pt>
                <c:pt idx="178">
                  <c:v>8.9249999999999936</c:v>
                </c:pt>
                <c:pt idx="179">
                  <c:v>8.9749999999999943</c:v>
                </c:pt>
                <c:pt idx="180">
                  <c:v>9.024999999999995</c:v>
                </c:pt>
                <c:pt idx="181">
                  <c:v>9.0749999999999957</c:v>
                </c:pt>
                <c:pt idx="182">
                  <c:v>9.1249999999999964</c:v>
                </c:pt>
                <c:pt idx="183">
                  <c:v>9.1749999999999972</c:v>
                </c:pt>
                <c:pt idx="184">
                  <c:v>9.2249999999999979</c:v>
                </c:pt>
                <c:pt idx="185">
                  <c:v>9.2749999999999986</c:v>
                </c:pt>
                <c:pt idx="186">
                  <c:v>9.3249999999999993</c:v>
                </c:pt>
                <c:pt idx="187">
                  <c:v>9.375</c:v>
                </c:pt>
                <c:pt idx="188">
                  <c:v>9.4250000000000007</c:v>
                </c:pt>
                <c:pt idx="189">
                  <c:v>9.4750000000000014</c:v>
                </c:pt>
                <c:pt idx="190">
                  <c:v>9.5250000000000021</c:v>
                </c:pt>
                <c:pt idx="191">
                  <c:v>9.5750000000000028</c:v>
                </c:pt>
                <c:pt idx="192">
                  <c:v>9.6250000000000036</c:v>
                </c:pt>
                <c:pt idx="193">
                  <c:v>9.6750000000000043</c:v>
                </c:pt>
                <c:pt idx="194">
                  <c:v>9.725000000000005</c:v>
                </c:pt>
                <c:pt idx="195">
                  <c:v>9.7750000000000057</c:v>
                </c:pt>
                <c:pt idx="196">
                  <c:v>9.8250000000000064</c:v>
                </c:pt>
                <c:pt idx="197">
                  <c:v>9.8750000000000071</c:v>
                </c:pt>
                <c:pt idx="198">
                  <c:v>9.9250000000000078</c:v>
                </c:pt>
                <c:pt idx="199">
                  <c:v>9.9750000000000085</c:v>
                </c:pt>
              </c:numCache>
            </c:numRef>
          </c:xVal>
          <c:yVal>
            <c:numRef>
              <c:f>Main!$E$5:$E$204</c:f>
              <c:numCache>
                <c:formatCode>General</c:formatCode>
                <c:ptCount val="200"/>
                <c:pt idx="0">
                  <c:v>0.99975006248594067</c:v>
                </c:pt>
                <c:pt idx="1">
                  <c:v>0.99775505226935557</c:v>
                </c:pt>
                <c:pt idx="2">
                  <c:v>0.99378884401434853</c:v>
                </c:pt>
                <c:pt idx="3">
                  <c:v>0.98789842627552382</c:v>
                </c:pt>
                <c:pt idx="4">
                  <c:v>0.98015272415241084</c:v>
                </c:pt>
                <c:pt idx="5">
                  <c:v>0.97064081644577549</c:v>
                </c:pt>
                <c:pt idx="6">
                  <c:v>0.95946969530410398</c:v>
                </c:pt>
                <c:pt idx="7">
                  <c:v>0.94676167188875948</c:v>
                </c:pt>
                <c:pt idx="8">
                  <c:v>0.93265154215691903</c:v>
                </c:pt>
                <c:pt idx="9">
                  <c:v>0.91728362974105038</c:v>
                </c:pt>
                <c:pt idx="10">
                  <c:v>0.90080881857637574</c:v>
                </c:pt>
                <c:pt idx="11">
                  <c:v>0.88338167746814411</c:v>
                </c:pt>
                <c:pt idx="12">
                  <c:v>0.86515776367784603</c:v>
                </c:pt>
                <c:pt idx="13">
                  <c:v>0.84629117451688973</c:v>
                </c:pt>
                <c:pt idx="14">
                  <c:v>0.82693239653964778</c:v>
                </c:pt>
                <c:pt idx="15">
                  <c:v>0.80722648273003383</c:v>
                </c:pt>
                <c:pt idx="16">
                  <c:v>0.78731157030075516</c:v>
                </c:pt>
                <c:pt idx="17">
                  <c:v>0.76731773625521149</c:v>
                </c:pt>
                <c:pt idx="18">
                  <c:v>0.74736617523124593</c:v>
                </c:pt>
                <c:pt idx="19">
                  <c:v>0.72756867456462393</c:v>
                </c:pt>
                <c:pt idx="20">
                  <c:v>0.70802735492308566</c:v>
                </c:pt>
                <c:pt idx="21">
                  <c:v>0.68883464101558922</c:v>
                </c:pt>
                <c:pt idx="22">
                  <c:v>0.67007342539381753</c:v>
                </c:pt>
                <c:pt idx="23">
                  <c:v>0.65181738878650319</c:v>
                </c:pt>
                <c:pt idx="24">
                  <c:v>0.63413144228023721</c:v>
                </c:pt>
                <c:pt idx="25">
                  <c:v>0.61707225954646894</c:v>
                </c:pt>
                <c:pt idx="26">
                  <c:v>0.60068887082651323</c:v>
                </c:pt>
                <c:pt idx="27">
                  <c:v>0.58502329420119703</c:v>
                </c:pt>
                <c:pt idx="28">
                  <c:v>0.57011118353375057</c:v>
                </c:pt>
                <c:pt idx="29">
                  <c:v>0.55598247619364372</c:v>
                </c:pt>
                <c:pt idx="30">
                  <c:v>0.54266202711409672</c:v>
                </c:pt>
                <c:pt idx="31">
                  <c:v>0.5301702188256564</c:v>
                </c:pt>
                <c:pt idx="32">
                  <c:v>0.51852353980133814</c:v>
                </c:pt>
                <c:pt idx="33">
                  <c:v>0.5077351257348085</c:v>
                </c:pt>
                <c:pt idx="34">
                  <c:v>0.4978152602633954</c:v>
                </c:pt>
                <c:pt idx="35">
                  <c:v>0.48877183316858719</c:v>
                </c:pt>
                <c:pt idx="36">
                  <c:v>0.48061075527321001</c:v>
                </c:pt>
                <c:pt idx="37">
                  <c:v>0.4733363301460552</c:v>
                </c:pt>
                <c:pt idx="38">
                  <c:v>0.4669515833617503</c:v>
                </c:pt>
                <c:pt idx="39">
                  <c:v>0.46145855048519896</c:v>
                </c:pt>
                <c:pt idx="40">
                  <c:v>0.4568585251922318</c:v>
                </c:pt>
                <c:pt idx="41">
                  <c:v>0.45315226903388944</c:v>
                </c:pt>
                <c:pt idx="42">
                  <c:v>0.45034018432975281</c:v>
                </c:pt>
                <c:pt idx="43">
                  <c:v>0.44842245156081068</c:v>
                </c:pt>
                <c:pt idx="44">
                  <c:v>0.44739913244574331</c:v>
                </c:pt>
                <c:pt idx="45">
                  <c:v>0.44727023964427387</c:v>
                </c:pt>
                <c:pt idx="46">
                  <c:v>0.44803577375281411</c:v>
                </c:pt>
                <c:pt idx="47">
                  <c:v>0.4496957279544006</c:v>
                </c:pt>
                <c:pt idx="48">
                  <c:v>0.45225006036885823</c:v>
                </c:pt>
                <c:pt idx="49">
                  <c:v>0.45569863383147641</c:v>
                </c:pt>
                <c:pt idx="50">
                  <c:v>0.4600411225203675</c:v>
                </c:pt>
                <c:pt idx="51">
                  <c:v>0.46527688456581023</c:v>
                </c:pt>
                <c:pt idx="52">
                  <c:v>0.47140479952215569</c:v>
                </c:pt>
                <c:pt idx="53">
                  <c:v>0.4784230693790919</c:v>
                </c:pt>
                <c:pt idx="54">
                  <c:v>0.48632898165144245</c:v>
                </c:pt>
                <c:pt idx="55">
                  <c:v>0.49511863303550513</c:v>
                </c:pt>
                <c:pt idx="56">
                  <c:v>0.50478661217899523</c:v>
                </c:pt>
                <c:pt idx="57">
                  <c:v>0.5153256403085581</c:v>
                </c:pt>
                <c:pt idx="58">
                  <c:v>0.52672616882512202</c:v>
                </c:pt>
                <c:pt idx="59">
                  <c:v>0.53897593354837192</c:v>
                </c:pt>
                <c:pt idx="60">
                  <c:v>0.55205946610572032</c:v>
                </c:pt>
                <c:pt idx="61">
                  <c:v>0.56595756405853181</c:v>
                </c:pt>
                <c:pt idx="62">
                  <c:v>0.5806467227790082</c:v>
                </c:pt>
                <c:pt idx="63">
                  <c:v>0.59609853387179301</c:v>
                </c:pt>
                <c:pt idx="64">
                  <c:v>0.6122790571043496</c:v>
                </c:pt>
                <c:pt idx="65">
                  <c:v>0.62914817538588574</c:v>
                </c:pt>
                <c:pt idx="66">
                  <c:v>0.64665894531268275</c:v>
                </c:pt>
                <c:pt idx="67">
                  <c:v>0.66475695914667365</c:v>
                </c:pt>
                <c:pt idx="68">
                  <c:v>0.68337973774530314</c:v>
                </c:pt>
                <c:pt idx="69">
                  <c:v>0.70245617779824387</c:v>
                </c:pt>
                <c:pt idx="70">
                  <c:v>0.72190608057818428</c:v>
                </c:pt>
                <c:pt idx="71">
                  <c:v>0.74163979304245786</c:v>
                </c:pt>
                <c:pt idx="72">
                  <c:v>0.76155799522581125</c:v>
                </c:pt>
                <c:pt idx="73">
                  <c:v>0.78155167007263127</c:v>
                </c:pt>
                <c:pt idx="74">
                  <c:v>0.80150229274507556</c:v>
                </c:pt>
                <c:pt idx="75">
                  <c:v>0.82128227555417677</c:v>
                </c:pt>
                <c:pt idx="76">
                  <c:v>0.84075570153775603</c:v>
                </c:pt>
                <c:pt idx="77">
                  <c:v>0.85977937394483062</c:v>
                </c:pt>
                <c:pt idx="78">
                  <c:v>0.87820420018359879</c:v>
                </c:pt>
                <c:pt idx="79">
                  <c:v>0.89587691702947814</c:v>
                </c:pt>
                <c:pt idx="80">
                  <c:v>0.91264214919893261</c:v>
                </c:pt>
                <c:pt idx="81">
                  <c:v>0.92834477620943934</c:v>
                </c:pt>
                <c:pt idx="82">
                  <c:v>0.94283256354704781</c:v>
                </c:pt>
                <c:pt idx="83">
                  <c:v>0.95595899468004142</c:v>
                </c:pt>
                <c:pt idx="84">
                  <c:v>0.96758622182334575</c:v>
                </c:pt>
                <c:pt idx="85">
                  <c:v>0.97758803721216081</c:v>
                </c:pt>
                <c:pt idx="86">
                  <c:v>0.98585275467826083</c:v>
                </c:pt>
                <c:pt idx="87">
                  <c:v>0.99228588509579407</c:v>
                </c:pt>
                <c:pt idx="88">
                  <c:v>0.99681248998721228</c:v>
                </c:pt>
                <c:pt idx="89">
                  <c:v>0.99937910592475843</c:v>
                </c:pt>
                <c:pt idx="90">
                  <c:v>0.99995514830925514</c:v>
                </c:pt>
                <c:pt idx="91">
                  <c:v>0.99853372587673139</c:v>
                </c:pt>
                <c:pt idx="92">
                  <c:v>0.9951318253665411</c:v>
                </c:pt>
                <c:pt idx="93">
                  <c:v>0.98978985708001854</c:v>
                </c:pt>
                <c:pt idx="94">
                  <c:v>0.98257058409544817</c:v>
                </c:pt>
                <c:pt idx="95">
                  <c:v>0.97355748812616782</c:v>
                </c:pt>
                <c:pt idx="96">
                  <c:v>0.96285265106721163</c:v>
                </c:pt>
                <c:pt idx="97">
                  <c:v>0.95057425129869089</c:v>
                </c:pt>
                <c:pt idx="98">
                  <c:v>0.93685378659125984</c:v>
                </c:pt>
                <c:pt idx="99">
                  <c:v>0.92183314053555288</c:v>
                </c:pt>
                <c:pt idx="100">
                  <c:v>0.9056616070799629</c:v>
                </c:pt>
                <c:pt idx="101">
                  <c:v>0.88849297893112167</c:v>
                </c:pt>
                <c:pt idx="102">
                  <c:v>0.87048279163268838</c:v>
                </c:pt>
                <c:pt idx="103">
                  <c:v>0.85178579773060659</c:v>
                </c:pt>
                <c:pt idx="104">
                  <c:v>0.83255372624844692</c:v>
                </c:pt>
                <c:pt idx="105">
                  <c:v>0.81293336330190324</c:v>
                </c:pt>
                <c:pt idx="106">
                  <c:v>0.79306497139025067</c:v>
                </c:pt>
                <c:pt idx="107">
                  <c:v>0.77308104869903593</c:v>
                </c:pt>
                <c:pt idx="108">
                  <c:v>0.75310541626449079</c:v>
                </c:pt>
                <c:pt idx="109">
                  <c:v>0.73325261038510048</c:v>
                </c:pt>
                <c:pt idx="110">
                  <c:v>0.71362755023432778</c:v>
                </c:pt>
                <c:pt idx="111">
                  <c:v>0.69432544602713331</c:v>
                </c:pt>
                <c:pt idx="112">
                  <c:v>0.67543191096970567</c:v>
                </c:pt>
                <c:pt idx="113">
                  <c:v>0.65702324014207014</c:v>
                </c:pt>
                <c:pt idx="114">
                  <c:v>0.63916682096502775</c:v>
                </c:pt>
                <c:pt idx="115">
                  <c:v>0.62192164253919768</c:v>
                </c:pt>
                <c:pt idx="116">
                  <c:v>0.60533887451172341</c:v>
                </c:pt>
                <c:pt idx="117">
                  <c:v>0.58946248988297889</c:v>
                </c:pt>
                <c:pt idx="118">
                  <c:v>0.57432991003627065</c:v>
                </c:pt>
                <c:pt idx="119">
                  <c:v>0.55997265404970575</c:v>
                </c:pt>
                <c:pt idx="120">
                  <c:v>0.54641697788375576</c:v>
                </c:pt>
                <c:pt idx="121">
                  <c:v>0.53368449223595305</c:v>
                </c:pt>
                <c:pt idx="122">
                  <c:v>0.5217927506638077</c:v>
                </c:pt>
                <c:pt idx="123">
                  <c:v>0.51075580197999348</c:v>
                </c:pt>
                <c:pt idx="124">
                  <c:v>0.50058470292604396</c:v>
                </c:pt>
                <c:pt idx="125">
                  <c:v>0.49128798875483742</c:v>
                </c:pt>
                <c:pt idx="126">
                  <c:v>0.48287210063112196</c:v>
                </c:pt>
                <c:pt idx="127">
                  <c:v>0.47534176973176384</c:v>
                </c:pt>
                <c:pt idx="128">
                  <c:v>0.46870035863369913</c:v>
                </c:pt>
                <c:pt idx="129">
                  <c:v>0.46295016105734077</c:v>
                </c:pt>
                <c:pt idx="130">
                  <c:v>0.45809266132363913</c:v>
                </c:pt>
                <c:pt idx="131">
                  <c:v>0.45412875501788735</c:v>
                </c:pt>
                <c:pt idx="132">
                  <c:v>0.45105893236258399</c:v>
                </c:pt>
                <c:pt idx="133">
                  <c:v>0.44888342571118922</c:v>
                </c:pt>
                <c:pt idx="134">
                  <c:v>0.44760232240667885</c:v>
                </c:pt>
                <c:pt idx="135">
                  <c:v>0.44721564402233649</c:v>
                </c:pt>
                <c:pt idx="136">
                  <c:v>0.44772339273335937</c:v>
                </c:pt>
                <c:pt idx="137">
                  <c:v>0.44912556527049369</c:v>
                </c:pt>
                <c:pt idx="138">
                  <c:v>0.45142213459337627</c:v>
                </c:pt>
                <c:pt idx="139">
                  <c:v>0.45461299910293923</c:v>
                </c:pt>
                <c:pt idx="140">
                  <c:v>0.45869789890020313</c:v>
                </c:pt>
                <c:pt idx="141">
                  <c:v>0.46367629830453411</c:v>
                </c:pt>
                <c:pt idx="142">
                  <c:v>0.46954723358045575</c:v>
                </c:pt>
                <c:pt idx="143">
                  <c:v>0.47630912460256913</c:v>
                </c:pt>
                <c:pt idx="144">
                  <c:v>0.48395954902950811</c:v>
                </c:pt>
                <c:pt idx="145">
                  <c:v>0.49249497747949383</c:v>
                </c:pt>
                <c:pt idx="146">
                  <c:v>0.50191046822468588</c:v>
                </c:pt>
                <c:pt idx="147">
                  <c:v>0.51219932007563085</c:v>
                </c:pt>
                <c:pt idx="148">
                  <c:v>0.52335268244112965</c:v>
                </c:pt>
                <c:pt idx="149">
                  <c:v>0.53535912205703529</c:v>
                </c:pt>
                <c:pt idx="150">
                  <c:v>0.54820414661745454</c:v>
                </c:pt>
                <c:pt idx="151">
                  <c:v>0.56186968655340364</c:v>
                </c:pt>
                <c:pt idx="152">
                  <c:v>0.57633353752746486</c:v>
                </c:pt>
                <c:pt idx="153">
                  <c:v>0.59156876788646384</c:v>
                </c:pt>
                <c:pt idx="154">
                  <c:v>0.607543097369595</c:v>
                </c:pt>
                <c:pt idx="155">
                  <c:v>0.62421825582754198</c:v>
                </c:pt>
                <c:pt idx="156">
                  <c:v>0.64154933357207633</c:v>
                </c:pt>
                <c:pt idx="157">
                  <c:v>0.65948413822293162</c:v>
                </c:pt>
                <c:pt idx="158">
                  <c:v>0.67796257649246039</c:v>
                </c:pt>
                <c:pt idx="159">
                  <c:v>0.69691608314743247</c:v>
                </c:pt>
                <c:pt idx="160">
                  <c:v>0.71626712325621689</c:v>
                </c:pt>
                <c:pt idx="161">
                  <c:v>0.73592879755130969</c:v>
                </c:pt>
                <c:pt idx="162">
                  <c:v>0.75580458402745365</c:v>
                </c:pt>
                <c:pt idx="163">
                  <c:v>0.77578825140311303</c:v>
                </c:pt>
                <c:pt idx="164">
                  <c:v>0.79576398138762539</c:v>
                </c:pt>
                <c:pt idx="165">
                  <c:v>0.81560673636692604</c:v>
                </c:pt>
                <c:pt idx="166">
                  <c:v>0.83518290668629658</c:v>
                </c:pt>
                <c:pt idx="167">
                  <c:v>0.85435126674217388</c:v>
                </c:pt>
                <c:pt idx="168">
                  <c:v>0.87296426126078785</c:v>
                </c:pt>
                <c:pt idx="169">
                  <c:v>0.89086963226119076</c:v>
                </c:pt>
                <c:pt idx="170">
                  <c:v>0.90791238332384272</c:v>
                </c:pt>
                <c:pt idx="171">
                  <c:v>0.92393706125503083</c:v>
                </c:pt>
                <c:pt idx="172">
                  <c:v>0.93879031673145019</c:v>
                </c:pt>
                <c:pt idx="173">
                  <c:v>0.95232368605966267</c:v>
                </c:pt>
                <c:pt idx="174">
                  <c:v>0.9643965171451232</c:v>
                </c:pt>
                <c:pt idx="175">
                  <c:v>0.97487894572770573</c:v>
                </c:pt>
                <c:pt idx="176">
                  <c:v>0.98365481460094195</c:v>
                </c:pt>
                <c:pt idx="177">
                  <c:v>0.99062442050821886</c:v>
                </c:pt>
                <c:pt idx="178">
                  <c:v>0.99570697203379999</c:v>
                </c:pt>
                <c:pt idx="179">
                  <c:v>0.99884264792437083</c:v>
                </c:pt>
                <c:pt idx="180">
                  <c:v>0.99999415907837486</c:v>
                </c:pt>
                <c:pt idx="181">
                  <c:v>0.99914773836712611</c:v>
                </c:pt>
                <c:pt idx="182">
                  <c:v>0.99631350919615902</c:v>
                </c:pt>
                <c:pt idx="183">
                  <c:v>0.99152521432704577</c:v>
                </c:pt>
                <c:pt idx="184">
                  <c:v>0.98483931856711704</c:v>
                </c:pt>
                <c:pt idx="185">
                  <c:v>0.97633352993427902</c:v>
                </c:pt>
                <c:pt idx="186">
                  <c:v>0.96610481137971915</c:v>
                </c:pt>
                <c:pt idx="187">
                  <c:v>0.95426697706965113</c:v>
                </c:pt>
                <c:pt idx="188">
                  <c:v>0.94094798217322395</c:v>
                </c:pt>
                <c:pt idx="189">
                  <c:v>0.92628702240167293</c:v>
                </c:pt>
                <c:pt idx="190">
                  <c:v>0.91043155927372321</c:v>
                </c:pt>
                <c:pt idx="191">
                  <c:v>0.8935343799981611</c:v>
                </c:pt>
                <c:pt idx="192">
                  <c:v>0.87575078823721175</c:v>
                </c:pt>
                <c:pt idx="193">
                  <c:v>0.85723600543173839</c:v>
                </c:pt>
                <c:pt idx="194">
                  <c:v>0.83814284352780744</c:v>
                </c:pt>
                <c:pt idx="195">
                  <c:v>0.81861969046236094</c:v>
                </c:pt>
                <c:pt idx="196">
                  <c:v>0.79880883104017264</c:v>
                </c:pt>
                <c:pt idx="197">
                  <c:v>0.77884510894870984</c:v>
                </c:pt>
                <c:pt idx="198">
                  <c:v>0.75885492134525523</c:v>
                </c:pt>
                <c:pt idx="199">
                  <c:v>0.73895552610265336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54-453A-9ED2-A1AE2EC43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71296"/>
        <c:axId val="229970688"/>
      </c:scatterChart>
      <c:valAx>
        <c:axId val="23007129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29970688"/>
        <c:crosses val="autoZero"/>
        <c:crossBetween val="midCat"/>
      </c:valAx>
      <c:valAx>
        <c:axId val="229970688"/>
        <c:scaling>
          <c:orientation val="minMax"/>
          <c:min val="-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71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2202469787325025E-2"/>
          <c:y val="0.64474385668234424"/>
          <c:w val="8.5596844049659171E-2"/>
          <c:h val="0.12572481459951734"/>
        </c:manualLayout>
      </c:layout>
      <c:overlay val="0"/>
      <c:spPr>
        <a:solidFill>
          <a:schemeClr val="bg1">
            <a:alpha val="67000"/>
          </a:schemeClr>
        </a:solidFill>
        <a:ln w="25400"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442286903122869E-2"/>
          <c:y val="2.3220954291929038E-2"/>
          <c:w val="0.91217244542556442"/>
          <c:h val="0.9535580914161419"/>
        </c:manualLayout>
      </c:layout>
      <c:scatterChart>
        <c:scatterStyle val="lineMarker"/>
        <c:varyColors val="0"/>
        <c:ser>
          <c:idx val="2"/>
          <c:order val="0"/>
          <c:tx>
            <c:v>Abs Err</c:v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CompEllInt!$B$5:$B$1004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</c:numCache>
            </c:numRef>
          </c:xVal>
          <c:yVal>
            <c:numRef>
              <c:f>CompEllInt!$E$5:$E$1004</c:f>
              <c:numCache>
                <c:formatCode>General</c:formatCode>
                <c:ptCount val="1000"/>
                <c:pt idx="0">
                  <c:v>6.6613381477509392E-15</c:v>
                </c:pt>
                <c:pt idx="1">
                  <c:v>9.1038288019262836E-15</c:v>
                </c:pt>
                <c:pt idx="2">
                  <c:v>7.7715611723760958E-15</c:v>
                </c:pt>
                <c:pt idx="3">
                  <c:v>4.4408920985006262E-15</c:v>
                </c:pt>
                <c:pt idx="4">
                  <c:v>3.1086244689504383E-15</c:v>
                </c:pt>
                <c:pt idx="5">
                  <c:v>9.9920072216264089E-15</c:v>
                </c:pt>
                <c:pt idx="6">
                  <c:v>2.6645352591003757E-15</c:v>
                </c:pt>
                <c:pt idx="7">
                  <c:v>2.6645352591003757E-15</c:v>
                </c:pt>
                <c:pt idx="8">
                  <c:v>3.9968028886505635E-15</c:v>
                </c:pt>
                <c:pt idx="9">
                  <c:v>6.4392935428259079E-15</c:v>
                </c:pt>
                <c:pt idx="10">
                  <c:v>1.9984014443252818E-15</c:v>
                </c:pt>
                <c:pt idx="11">
                  <c:v>1.7763568394002505E-15</c:v>
                </c:pt>
                <c:pt idx="12">
                  <c:v>0</c:v>
                </c:pt>
                <c:pt idx="13">
                  <c:v>5.773159728050814E-15</c:v>
                </c:pt>
                <c:pt idx="14">
                  <c:v>9.1038288019262836E-15</c:v>
                </c:pt>
                <c:pt idx="15">
                  <c:v>6.4392935428259079E-15</c:v>
                </c:pt>
                <c:pt idx="16">
                  <c:v>4.4408920985006262E-15</c:v>
                </c:pt>
                <c:pt idx="17">
                  <c:v>4.8849813083506888E-15</c:v>
                </c:pt>
                <c:pt idx="18">
                  <c:v>3.7747582837255322E-15</c:v>
                </c:pt>
                <c:pt idx="19">
                  <c:v>5.773159728050814E-15</c:v>
                </c:pt>
                <c:pt idx="20">
                  <c:v>3.9968028886505635E-15</c:v>
                </c:pt>
                <c:pt idx="21">
                  <c:v>3.5527136788005009E-15</c:v>
                </c:pt>
                <c:pt idx="22">
                  <c:v>2.886579864025407E-15</c:v>
                </c:pt>
                <c:pt idx="23">
                  <c:v>6.2172489379008766E-15</c:v>
                </c:pt>
                <c:pt idx="24">
                  <c:v>6.2172489379008766E-15</c:v>
                </c:pt>
                <c:pt idx="25">
                  <c:v>6.2172489379008766E-15</c:v>
                </c:pt>
                <c:pt idx="26">
                  <c:v>2.886579864025407E-15</c:v>
                </c:pt>
                <c:pt idx="27">
                  <c:v>8.659739592076221E-15</c:v>
                </c:pt>
                <c:pt idx="28">
                  <c:v>5.1070259132757201E-15</c:v>
                </c:pt>
                <c:pt idx="29">
                  <c:v>5.9952043329758453E-15</c:v>
                </c:pt>
                <c:pt idx="30">
                  <c:v>8.659739592076221E-15</c:v>
                </c:pt>
                <c:pt idx="31">
                  <c:v>0</c:v>
                </c:pt>
                <c:pt idx="32">
                  <c:v>8.4376949871511897E-15</c:v>
                </c:pt>
                <c:pt idx="33">
                  <c:v>4.6629367034256575E-15</c:v>
                </c:pt>
                <c:pt idx="34">
                  <c:v>0</c:v>
                </c:pt>
                <c:pt idx="35">
                  <c:v>7.1054273576010019E-15</c:v>
                </c:pt>
                <c:pt idx="36">
                  <c:v>3.3306690738754696E-15</c:v>
                </c:pt>
                <c:pt idx="37">
                  <c:v>5.9952043329758453E-15</c:v>
                </c:pt>
                <c:pt idx="38">
                  <c:v>5.9952043329758453E-15</c:v>
                </c:pt>
                <c:pt idx="39">
                  <c:v>0</c:v>
                </c:pt>
                <c:pt idx="40">
                  <c:v>0</c:v>
                </c:pt>
                <c:pt idx="41">
                  <c:v>2.4424906541753444E-15</c:v>
                </c:pt>
                <c:pt idx="42">
                  <c:v>9.7699626167013776E-15</c:v>
                </c:pt>
                <c:pt idx="43">
                  <c:v>4.8849813083506888E-15</c:v>
                </c:pt>
                <c:pt idx="44">
                  <c:v>7.3274719625260332E-15</c:v>
                </c:pt>
                <c:pt idx="45">
                  <c:v>1.7763568394002505E-15</c:v>
                </c:pt>
                <c:pt idx="46">
                  <c:v>2.2204460492503131E-15</c:v>
                </c:pt>
                <c:pt idx="47">
                  <c:v>5.9952043329758453E-15</c:v>
                </c:pt>
                <c:pt idx="48">
                  <c:v>0</c:v>
                </c:pt>
                <c:pt idx="49">
                  <c:v>5.9952043329758453E-15</c:v>
                </c:pt>
                <c:pt idx="50">
                  <c:v>4.4408920985006262E-15</c:v>
                </c:pt>
                <c:pt idx="51">
                  <c:v>2.2204460492503131E-15</c:v>
                </c:pt>
                <c:pt idx="52">
                  <c:v>5.9952043329758453E-15</c:v>
                </c:pt>
                <c:pt idx="53">
                  <c:v>9.1038288019262836E-15</c:v>
                </c:pt>
                <c:pt idx="54">
                  <c:v>7.5495165674510645E-15</c:v>
                </c:pt>
                <c:pt idx="55">
                  <c:v>5.1070259132757201E-15</c:v>
                </c:pt>
                <c:pt idx="56">
                  <c:v>9.5479180117763462E-15</c:v>
                </c:pt>
                <c:pt idx="57">
                  <c:v>9.7699626167013776E-15</c:v>
                </c:pt>
                <c:pt idx="58">
                  <c:v>9.9920072216264089E-15</c:v>
                </c:pt>
                <c:pt idx="59">
                  <c:v>8.4376949871511897E-15</c:v>
                </c:pt>
                <c:pt idx="60">
                  <c:v>2.4424906541753444E-15</c:v>
                </c:pt>
                <c:pt idx="61">
                  <c:v>5.5511151231257827E-15</c:v>
                </c:pt>
                <c:pt idx="62">
                  <c:v>4.4408920985006262E-15</c:v>
                </c:pt>
                <c:pt idx="63">
                  <c:v>4.6629367034256575E-15</c:v>
                </c:pt>
                <c:pt idx="64">
                  <c:v>9.1038288019262836E-15</c:v>
                </c:pt>
                <c:pt idx="65">
                  <c:v>3.9968028886505635E-15</c:v>
                </c:pt>
                <c:pt idx="66">
                  <c:v>7.5495165674510645E-15</c:v>
                </c:pt>
                <c:pt idx="67">
                  <c:v>4.6629367034256575E-15</c:v>
                </c:pt>
                <c:pt idx="68">
                  <c:v>7.5495165674510645E-15</c:v>
                </c:pt>
                <c:pt idx="69">
                  <c:v>0</c:v>
                </c:pt>
                <c:pt idx="70">
                  <c:v>0</c:v>
                </c:pt>
                <c:pt idx="71">
                  <c:v>2.886579864025407E-15</c:v>
                </c:pt>
                <c:pt idx="72">
                  <c:v>7.7715611723760958E-15</c:v>
                </c:pt>
                <c:pt idx="73">
                  <c:v>3.3306690738754696E-15</c:v>
                </c:pt>
                <c:pt idx="74">
                  <c:v>8.659739592076221E-15</c:v>
                </c:pt>
                <c:pt idx="75">
                  <c:v>5.3290705182007514E-15</c:v>
                </c:pt>
                <c:pt idx="76">
                  <c:v>4.4408920985006262E-15</c:v>
                </c:pt>
                <c:pt idx="77">
                  <c:v>5.3290705182007514E-15</c:v>
                </c:pt>
                <c:pt idx="78">
                  <c:v>4.6629367034256575E-15</c:v>
                </c:pt>
                <c:pt idx="79">
                  <c:v>5.5511151231257827E-15</c:v>
                </c:pt>
                <c:pt idx="80">
                  <c:v>4.6629367034256575E-15</c:v>
                </c:pt>
                <c:pt idx="81">
                  <c:v>3.3306690738754696E-15</c:v>
                </c:pt>
                <c:pt idx="82">
                  <c:v>6.4392935428259079E-15</c:v>
                </c:pt>
                <c:pt idx="83">
                  <c:v>0</c:v>
                </c:pt>
                <c:pt idx="84">
                  <c:v>4.2188474935755949E-15</c:v>
                </c:pt>
                <c:pt idx="85">
                  <c:v>7.7715611723760958E-15</c:v>
                </c:pt>
                <c:pt idx="86">
                  <c:v>1.9984014443252818E-15</c:v>
                </c:pt>
                <c:pt idx="87">
                  <c:v>9.7699626167013776E-15</c:v>
                </c:pt>
                <c:pt idx="88">
                  <c:v>3.1086244689504383E-15</c:v>
                </c:pt>
                <c:pt idx="89">
                  <c:v>6.6613381477509392E-15</c:v>
                </c:pt>
                <c:pt idx="90">
                  <c:v>5.3290705182007514E-15</c:v>
                </c:pt>
                <c:pt idx="91">
                  <c:v>5.9952043329758453E-15</c:v>
                </c:pt>
                <c:pt idx="92">
                  <c:v>6.8833827526759706E-15</c:v>
                </c:pt>
                <c:pt idx="93">
                  <c:v>9.3258734068513149E-15</c:v>
                </c:pt>
                <c:pt idx="94">
                  <c:v>7.7715611723760958E-15</c:v>
                </c:pt>
                <c:pt idx="95">
                  <c:v>0</c:v>
                </c:pt>
                <c:pt idx="96">
                  <c:v>2.4424906541753444E-15</c:v>
                </c:pt>
                <c:pt idx="97">
                  <c:v>2.6645352591003757E-15</c:v>
                </c:pt>
                <c:pt idx="98">
                  <c:v>8.4376949871511897E-15</c:v>
                </c:pt>
                <c:pt idx="99">
                  <c:v>7.5495165674510645E-15</c:v>
                </c:pt>
                <c:pt idx="100">
                  <c:v>5.9952043329758453E-15</c:v>
                </c:pt>
                <c:pt idx="101">
                  <c:v>3.3306690738754696E-15</c:v>
                </c:pt>
                <c:pt idx="102">
                  <c:v>2.4424906541753444E-15</c:v>
                </c:pt>
                <c:pt idx="103">
                  <c:v>2.2204460492503131E-15</c:v>
                </c:pt>
                <c:pt idx="104">
                  <c:v>9.3258734068513149E-15</c:v>
                </c:pt>
                <c:pt idx="105">
                  <c:v>0</c:v>
                </c:pt>
                <c:pt idx="106">
                  <c:v>6.2172489379008766E-15</c:v>
                </c:pt>
                <c:pt idx="107">
                  <c:v>9.3258734068513149E-15</c:v>
                </c:pt>
                <c:pt idx="108">
                  <c:v>2.2204460492503131E-15</c:v>
                </c:pt>
                <c:pt idx="109">
                  <c:v>7.5495165674510645E-15</c:v>
                </c:pt>
                <c:pt idx="110">
                  <c:v>9.9920072216264089E-15</c:v>
                </c:pt>
                <c:pt idx="111">
                  <c:v>0</c:v>
                </c:pt>
                <c:pt idx="112">
                  <c:v>2.886579864025407E-15</c:v>
                </c:pt>
                <c:pt idx="113">
                  <c:v>7.9936057773011271E-15</c:v>
                </c:pt>
                <c:pt idx="114">
                  <c:v>7.1054273576010019E-15</c:v>
                </c:pt>
                <c:pt idx="115">
                  <c:v>9.5479180117763462E-15</c:v>
                </c:pt>
                <c:pt idx="116">
                  <c:v>9.1038288019262836E-15</c:v>
                </c:pt>
                <c:pt idx="117">
                  <c:v>5.9952043329758453E-15</c:v>
                </c:pt>
                <c:pt idx="118">
                  <c:v>3.1086244689504383E-15</c:v>
                </c:pt>
                <c:pt idx="119">
                  <c:v>7.7715611723760958E-15</c:v>
                </c:pt>
                <c:pt idx="120">
                  <c:v>7.9936057773011271E-15</c:v>
                </c:pt>
                <c:pt idx="121">
                  <c:v>6.4392935428259079E-15</c:v>
                </c:pt>
                <c:pt idx="122">
                  <c:v>3.7747582837255322E-15</c:v>
                </c:pt>
                <c:pt idx="123">
                  <c:v>5.9952043329758453E-15</c:v>
                </c:pt>
                <c:pt idx="124">
                  <c:v>6.4392935428259079E-15</c:v>
                </c:pt>
                <c:pt idx="125">
                  <c:v>3.1086244689504383E-15</c:v>
                </c:pt>
                <c:pt idx="126">
                  <c:v>2.886579864025407E-15</c:v>
                </c:pt>
                <c:pt idx="127">
                  <c:v>6.8833827526759706E-15</c:v>
                </c:pt>
                <c:pt idx="128">
                  <c:v>5.773159728050814E-15</c:v>
                </c:pt>
                <c:pt idx="129">
                  <c:v>6.8833827526759706E-15</c:v>
                </c:pt>
                <c:pt idx="130">
                  <c:v>7.7715611723760958E-15</c:v>
                </c:pt>
                <c:pt idx="131">
                  <c:v>3.9968028886505635E-15</c:v>
                </c:pt>
                <c:pt idx="132">
                  <c:v>4.2188474935755949E-15</c:v>
                </c:pt>
                <c:pt idx="133">
                  <c:v>7.1054273576010019E-15</c:v>
                </c:pt>
                <c:pt idx="134">
                  <c:v>7.7715611723760958E-15</c:v>
                </c:pt>
                <c:pt idx="135">
                  <c:v>3.5527136788005009E-15</c:v>
                </c:pt>
                <c:pt idx="136">
                  <c:v>1.7763568394002505E-15</c:v>
                </c:pt>
                <c:pt idx="137">
                  <c:v>5.773159728050814E-15</c:v>
                </c:pt>
                <c:pt idx="138">
                  <c:v>2.886579864025407E-15</c:v>
                </c:pt>
                <c:pt idx="139">
                  <c:v>0</c:v>
                </c:pt>
                <c:pt idx="140">
                  <c:v>6.6613381477509392E-15</c:v>
                </c:pt>
                <c:pt idx="141">
                  <c:v>0</c:v>
                </c:pt>
                <c:pt idx="142">
                  <c:v>9.1038288019262836E-15</c:v>
                </c:pt>
                <c:pt idx="143">
                  <c:v>7.7715611723760958E-15</c:v>
                </c:pt>
                <c:pt idx="144">
                  <c:v>1.9984014443252818E-15</c:v>
                </c:pt>
                <c:pt idx="145">
                  <c:v>5.5511151231257827E-15</c:v>
                </c:pt>
                <c:pt idx="146">
                  <c:v>7.5495165674510645E-15</c:v>
                </c:pt>
                <c:pt idx="147">
                  <c:v>0</c:v>
                </c:pt>
                <c:pt idx="148">
                  <c:v>3.1086244689504383E-15</c:v>
                </c:pt>
                <c:pt idx="149">
                  <c:v>1.9984014443252818E-15</c:v>
                </c:pt>
                <c:pt idx="150">
                  <c:v>7.1054273576010019E-15</c:v>
                </c:pt>
                <c:pt idx="151">
                  <c:v>8.4376949871511897E-15</c:v>
                </c:pt>
                <c:pt idx="152">
                  <c:v>5.5511151231257827E-15</c:v>
                </c:pt>
                <c:pt idx="153">
                  <c:v>6.2172489379008766E-15</c:v>
                </c:pt>
                <c:pt idx="154">
                  <c:v>8.8817841970012523E-15</c:v>
                </c:pt>
                <c:pt idx="155">
                  <c:v>8.4376949871511897E-15</c:v>
                </c:pt>
                <c:pt idx="156">
                  <c:v>0</c:v>
                </c:pt>
                <c:pt idx="157">
                  <c:v>0</c:v>
                </c:pt>
                <c:pt idx="158">
                  <c:v>8.8817841970012523E-15</c:v>
                </c:pt>
                <c:pt idx="159">
                  <c:v>0</c:v>
                </c:pt>
                <c:pt idx="160">
                  <c:v>2.2204460492503131E-15</c:v>
                </c:pt>
                <c:pt idx="161">
                  <c:v>7.3274719625260332E-15</c:v>
                </c:pt>
                <c:pt idx="162">
                  <c:v>6.2172489379008766E-15</c:v>
                </c:pt>
                <c:pt idx="163">
                  <c:v>2.4424906541753444E-15</c:v>
                </c:pt>
                <c:pt idx="164">
                  <c:v>5.1070259132757201E-15</c:v>
                </c:pt>
                <c:pt idx="165">
                  <c:v>0</c:v>
                </c:pt>
                <c:pt idx="166">
                  <c:v>6.6613381477509392E-15</c:v>
                </c:pt>
                <c:pt idx="167">
                  <c:v>9.5479180117763462E-15</c:v>
                </c:pt>
                <c:pt idx="168">
                  <c:v>0</c:v>
                </c:pt>
                <c:pt idx="169">
                  <c:v>6.8833827526759706E-15</c:v>
                </c:pt>
                <c:pt idx="170">
                  <c:v>4.6629367034256575E-15</c:v>
                </c:pt>
                <c:pt idx="171">
                  <c:v>0</c:v>
                </c:pt>
                <c:pt idx="172">
                  <c:v>8.2156503822261584E-15</c:v>
                </c:pt>
                <c:pt idx="173">
                  <c:v>5.5511151231257827E-15</c:v>
                </c:pt>
                <c:pt idx="174">
                  <c:v>3.5527136788005009E-15</c:v>
                </c:pt>
                <c:pt idx="175">
                  <c:v>7.9936057773011271E-15</c:v>
                </c:pt>
                <c:pt idx="176">
                  <c:v>1.7763568394002505E-15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1.7763568394002505E-15</c:v>
                </c:pt>
                <c:pt idx="181">
                  <c:v>3.9968028886505635E-15</c:v>
                </c:pt>
                <c:pt idx="182">
                  <c:v>0</c:v>
                </c:pt>
                <c:pt idx="183">
                  <c:v>8.2156503822261584E-15</c:v>
                </c:pt>
                <c:pt idx="184">
                  <c:v>6.2172489379008766E-15</c:v>
                </c:pt>
                <c:pt idx="185">
                  <c:v>7.5495165674510645E-15</c:v>
                </c:pt>
                <c:pt idx="186">
                  <c:v>0</c:v>
                </c:pt>
                <c:pt idx="187">
                  <c:v>0</c:v>
                </c:pt>
                <c:pt idx="188">
                  <c:v>7.5495165674510645E-15</c:v>
                </c:pt>
                <c:pt idx="189">
                  <c:v>9.5479180117763462E-15</c:v>
                </c:pt>
                <c:pt idx="190">
                  <c:v>7.3274719625260332E-15</c:v>
                </c:pt>
                <c:pt idx="191">
                  <c:v>0</c:v>
                </c:pt>
                <c:pt idx="192">
                  <c:v>6.8833827526759706E-15</c:v>
                </c:pt>
                <c:pt idx="193">
                  <c:v>4.6629367034256575E-15</c:v>
                </c:pt>
                <c:pt idx="194">
                  <c:v>5.5511151231257827E-15</c:v>
                </c:pt>
                <c:pt idx="195">
                  <c:v>0</c:v>
                </c:pt>
                <c:pt idx="196">
                  <c:v>5.5511151231257827E-15</c:v>
                </c:pt>
                <c:pt idx="197">
                  <c:v>3.9968028886505635E-15</c:v>
                </c:pt>
                <c:pt idx="198">
                  <c:v>0</c:v>
                </c:pt>
                <c:pt idx="199">
                  <c:v>5.773159728050814E-15</c:v>
                </c:pt>
                <c:pt idx="200">
                  <c:v>6.2172489379008766E-15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6.6613381477509392E-15</c:v>
                </c:pt>
                <c:pt idx="205">
                  <c:v>5.3290705182007514E-15</c:v>
                </c:pt>
                <c:pt idx="206">
                  <c:v>9.7699626167013776E-15</c:v>
                </c:pt>
                <c:pt idx="207">
                  <c:v>3.5527136788005009E-15</c:v>
                </c:pt>
                <c:pt idx="208">
                  <c:v>9.7699626167013776E-15</c:v>
                </c:pt>
                <c:pt idx="209">
                  <c:v>3.5527136788005009E-15</c:v>
                </c:pt>
                <c:pt idx="210">
                  <c:v>2.2204460492503131E-15</c:v>
                </c:pt>
                <c:pt idx="211">
                  <c:v>6.2172489379008766E-15</c:v>
                </c:pt>
                <c:pt idx="212">
                  <c:v>2.6645352591003757E-15</c:v>
                </c:pt>
                <c:pt idx="213">
                  <c:v>5.5511151231257827E-15</c:v>
                </c:pt>
                <c:pt idx="214">
                  <c:v>8.4376949871511897E-15</c:v>
                </c:pt>
                <c:pt idx="215">
                  <c:v>7.5495165674510645E-15</c:v>
                </c:pt>
                <c:pt idx="216">
                  <c:v>3.9968028886505635E-15</c:v>
                </c:pt>
                <c:pt idx="217">
                  <c:v>6.2172489379008766E-15</c:v>
                </c:pt>
                <c:pt idx="218">
                  <c:v>3.9968028886505635E-15</c:v>
                </c:pt>
                <c:pt idx="219">
                  <c:v>0</c:v>
                </c:pt>
                <c:pt idx="220">
                  <c:v>1.7763568394002505E-15</c:v>
                </c:pt>
                <c:pt idx="221">
                  <c:v>9.1038288019262836E-15</c:v>
                </c:pt>
                <c:pt idx="222">
                  <c:v>5.5511151231257827E-15</c:v>
                </c:pt>
                <c:pt idx="223">
                  <c:v>3.3306690738754696E-15</c:v>
                </c:pt>
                <c:pt idx="224">
                  <c:v>0</c:v>
                </c:pt>
                <c:pt idx="225">
                  <c:v>7.9936057773011271E-15</c:v>
                </c:pt>
                <c:pt idx="226">
                  <c:v>9.3258734068513149E-15</c:v>
                </c:pt>
                <c:pt idx="227">
                  <c:v>3.1086244689504383E-15</c:v>
                </c:pt>
                <c:pt idx="228">
                  <c:v>4.4408920985006262E-15</c:v>
                </c:pt>
                <c:pt idx="229">
                  <c:v>2.2204460492503131E-15</c:v>
                </c:pt>
                <c:pt idx="230">
                  <c:v>6.4392935428259079E-15</c:v>
                </c:pt>
                <c:pt idx="231">
                  <c:v>3.7747582837255322E-15</c:v>
                </c:pt>
                <c:pt idx="232">
                  <c:v>4.8849813083506888E-15</c:v>
                </c:pt>
                <c:pt idx="233">
                  <c:v>0</c:v>
                </c:pt>
                <c:pt idx="234">
                  <c:v>5.3290705182007514E-15</c:v>
                </c:pt>
                <c:pt idx="235">
                  <c:v>4.8849813083506888E-15</c:v>
                </c:pt>
                <c:pt idx="236">
                  <c:v>2.4424906541753444E-15</c:v>
                </c:pt>
                <c:pt idx="237">
                  <c:v>4.6629367034256575E-15</c:v>
                </c:pt>
                <c:pt idx="238">
                  <c:v>0</c:v>
                </c:pt>
                <c:pt idx="239">
                  <c:v>9.1038288019262836E-15</c:v>
                </c:pt>
                <c:pt idx="240">
                  <c:v>2.2204460492503131E-15</c:v>
                </c:pt>
                <c:pt idx="241">
                  <c:v>0</c:v>
                </c:pt>
                <c:pt idx="242">
                  <c:v>4.2188474935755949E-15</c:v>
                </c:pt>
                <c:pt idx="243">
                  <c:v>5.3290705182007514E-15</c:v>
                </c:pt>
                <c:pt idx="244">
                  <c:v>6.4392935428259079E-15</c:v>
                </c:pt>
                <c:pt idx="245">
                  <c:v>1.9984014443252818E-15</c:v>
                </c:pt>
                <c:pt idx="246">
                  <c:v>9.5479180117763462E-15</c:v>
                </c:pt>
                <c:pt idx="247">
                  <c:v>0</c:v>
                </c:pt>
                <c:pt idx="248">
                  <c:v>5.9952043329758453E-15</c:v>
                </c:pt>
                <c:pt idx="249">
                  <c:v>0</c:v>
                </c:pt>
                <c:pt idx="250">
                  <c:v>3.3306690738754696E-15</c:v>
                </c:pt>
                <c:pt idx="251">
                  <c:v>6.8833827526759706E-15</c:v>
                </c:pt>
                <c:pt idx="252">
                  <c:v>0</c:v>
                </c:pt>
                <c:pt idx="253">
                  <c:v>2.2204460492503131E-15</c:v>
                </c:pt>
                <c:pt idx="254">
                  <c:v>7.5495165674510645E-15</c:v>
                </c:pt>
                <c:pt idx="255">
                  <c:v>7.7715611723760958E-15</c:v>
                </c:pt>
                <c:pt idx="256">
                  <c:v>8.4376949871511897E-15</c:v>
                </c:pt>
                <c:pt idx="257">
                  <c:v>0</c:v>
                </c:pt>
                <c:pt idx="258">
                  <c:v>2.6645352591003757E-15</c:v>
                </c:pt>
                <c:pt idx="259">
                  <c:v>5.5511151231257827E-15</c:v>
                </c:pt>
                <c:pt idx="260">
                  <c:v>7.5495165674510645E-15</c:v>
                </c:pt>
                <c:pt idx="261">
                  <c:v>6.4392935428259079E-15</c:v>
                </c:pt>
                <c:pt idx="262">
                  <c:v>7.3274719625260332E-15</c:v>
                </c:pt>
                <c:pt idx="263">
                  <c:v>8.2156503822261584E-15</c:v>
                </c:pt>
                <c:pt idx="264">
                  <c:v>8.659739592076221E-15</c:v>
                </c:pt>
                <c:pt idx="265">
                  <c:v>6.4392935428259079E-15</c:v>
                </c:pt>
                <c:pt idx="266">
                  <c:v>6.2172489379008766E-15</c:v>
                </c:pt>
                <c:pt idx="267">
                  <c:v>7.5495165674510645E-15</c:v>
                </c:pt>
                <c:pt idx="268">
                  <c:v>3.3306690738754696E-15</c:v>
                </c:pt>
                <c:pt idx="269">
                  <c:v>9.1038288019262836E-15</c:v>
                </c:pt>
                <c:pt idx="270">
                  <c:v>3.3306690738754696E-15</c:v>
                </c:pt>
                <c:pt idx="271">
                  <c:v>5.773159728050814E-15</c:v>
                </c:pt>
                <c:pt idx="272">
                  <c:v>8.8817841970012523E-15</c:v>
                </c:pt>
                <c:pt idx="273">
                  <c:v>7.9936057773011271E-15</c:v>
                </c:pt>
                <c:pt idx="274">
                  <c:v>1.7763568394002505E-15</c:v>
                </c:pt>
                <c:pt idx="275">
                  <c:v>5.3290705182007514E-15</c:v>
                </c:pt>
                <c:pt idx="276">
                  <c:v>9.5479180117763462E-15</c:v>
                </c:pt>
                <c:pt idx="277">
                  <c:v>5.9952043329758453E-15</c:v>
                </c:pt>
                <c:pt idx="278">
                  <c:v>6.6613381477509392E-15</c:v>
                </c:pt>
                <c:pt idx="279">
                  <c:v>9.7699626167013776E-15</c:v>
                </c:pt>
                <c:pt idx="280">
                  <c:v>0</c:v>
                </c:pt>
                <c:pt idx="281">
                  <c:v>7.5495165674510645E-15</c:v>
                </c:pt>
                <c:pt idx="282">
                  <c:v>4.6629367034256575E-15</c:v>
                </c:pt>
                <c:pt idx="283">
                  <c:v>7.1054273576010019E-15</c:v>
                </c:pt>
                <c:pt idx="284">
                  <c:v>6.4392935428259079E-15</c:v>
                </c:pt>
                <c:pt idx="285">
                  <c:v>4.8849813083506888E-15</c:v>
                </c:pt>
                <c:pt idx="286">
                  <c:v>2.4424906541753444E-15</c:v>
                </c:pt>
                <c:pt idx="287">
                  <c:v>3.3306690738754696E-15</c:v>
                </c:pt>
                <c:pt idx="288">
                  <c:v>2.2204460492503131E-15</c:v>
                </c:pt>
                <c:pt idx="289">
                  <c:v>0</c:v>
                </c:pt>
                <c:pt idx="290">
                  <c:v>5.9952043329758453E-15</c:v>
                </c:pt>
                <c:pt idx="291">
                  <c:v>0</c:v>
                </c:pt>
                <c:pt idx="292">
                  <c:v>5.5511151231257827E-15</c:v>
                </c:pt>
                <c:pt idx="293">
                  <c:v>6.4392935428259079E-15</c:v>
                </c:pt>
                <c:pt idx="294">
                  <c:v>7.9936057773011271E-15</c:v>
                </c:pt>
                <c:pt idx="295">
                  <c:v>4.4408920985006262E-15</c:v>
                </c:pt>
                <c:pt idx="296">
                  <c:v>2.4424906541753444E-15</c:v>
                </c:pt>
                <c:pt idx="297">
                  <c:v>8.8817841970012523E-15</c:v>
                </c:pt>
                <c:pt idx="298">
                  <c:v>4.8849813083506888E-15</c:v>
                </c:pt>
                <c:pt idx="299">
                  <c:v>5.3290705182007514E-15</c:v>
                </c:pt>
                <c:pt idx="300">
                  <c:v>2.886579864025407E-15</c:v>
                </c:pt>
                <c:pt idx="301">
                  <c:v>9.3258734068513149E-15</c:v>
                </c:pt>
                <c:pt idx="302">
                  <c:v>0</c:v>
                </c:pt>
                <c:pt idx="303">
                  <c:v>7.9936057773011271E-15</c:v>
                </c:pt>
                <c:pt idx="304">
                  <c:v>4.6629367034256575E-15</c:v>
                </c:pt>
                <c:pt idx="305">
                  <c:v>9.5479180117763462E-15</c:v>
                </c:pt>
                <c:pt idx="306">
                  <c:v>2.2204460492503131E-15</c:v>
                </c:pt>
                <c:pt idx="307">
                  <c:v>9.1038288019262836E-15</c:v>
                </c:pt>
                <c:pt idx="308">
                  <c:v>9.9920072216264089E-15</c:v>
                </c:pt>
                <c:pt idx="309">
                  <c:v>3.3306690738754696E-15</c:v>
                </c:pt>
                <c:pt idx="310">
                  <c:v>5.5511151231257827E-15</c:v>
                </c:pt>
                <c:pt idx="311">
                  <c:v>7.9936057773011271E-15</c:v>
                </c:pt>
                <c:pt idx="312">
                  <c:v>4.8849813083506888E-15</c:v>
                </c:pt>
                <c:pt idx="313">
                  <c:v>1.9984014443252818E-15</c:v>
                </c:pt>
                <c:pt idx="314">
                  <c:v>7.3274719625260332E-15</c:v>
                </c:pt>
                <c:pt idx="315">
                  <c:v>0</c:v>
                </c:pt>
                <c:pt idx="316">
                  <c:v>1.7763568394002505E-15</c:v>
                </c:pt>
                <c:pt idx="317">
                  <c:v>6.4392935428259079E-15</c:v>
                </c:pt>
                <c:pt idx="318">
                  <c:v>2.2204460492503131E-15</c:v>
                </c:pt>
                <c:pt idx="319">
                  <c:v>5.773159728050814E-15</c:v>
                </c:pt>
                <c:pt idx="320">
                  <c:v>0</c:v>
                </c:pt>
                <c:pt idx="321">
                  <c:v>8.659739592076221E-15</c:v>
                </c:pt>
                <c:pt idx="322">
                  <c:v>0</c:v>
                </c:pt>
                <c:pt idx="323">
                  <c:v>5.5511151231257827E-15</c:v>
                </c:pt>
                <c:pt idx="324">
                  <c:v>4.4408920985006262E-15</c:v>
                </c:pt>
                <c:pt idx="325">
                  <c:v>2.6645352591003757E-15</c:v>
                </c:pt>
                <c:pt idx="326">
                  <c:v>2.6645352591003757E-15</c:v>
                </c:pt>
                <c:pt idx="327">
                  <c:v>2.886579864025407E-15</c:v>
                </c:pt>
                <c:pt idx="328">
                  <c:v>3.5527136788005009E-15</c:v>
                </c:pt>
                <c:pt idx="329">
                  <c:v>6.2172489379008766E-15</c:v>
                </c:pt>
                <c:pt idx="330">
                  <c:v>0</c:v>
                </c:pt>
                <c:pt idx="331">
                  <c:v>8.4376949871511897E-15</c:v>
                </c:pt>
                <c:pt idx="332">
                  <c:v>5.5511151231257827E-15</c:v>
                </c:pt>
                <c:pt idx="333">
                  <c:v>0</c:v>
                </c:pt>
                <c:pt idx="334">
                  <c:v>0</c:v>
                </c:pt>
                <c:pt idx="335">
                  <c:v>5.773159728050814E-15</c:v>
                </c:pt>
                <c:pt idx="336">
                  <c:v>1.9984014443252818E-15</c:v>
                </c:pt>
                <c:pt idx="337">
                  <c:v>0</c:v>
                </c:pt>
                <c:pt idx="338">
                  <c:v>0</c:v>
                </c:pt>
                <c:pt idx="339">
                  <c:v>9.9920072216264089E-15</c:v>
                </c:pt>
                <c:pt idx="340">
                  <c:v>3.5527136788005009E-15</c:v>
                </c:pt>
                <c:pt idx="341">
                  <c:v>1.9984014443252818E-15</c:v>
                </c:pt>
                <c:pt idx="342">
                  <c:v>0</c:v>
                </c:pt>
                <c:pt idx="343">
                  <c:v>5.1070259132757201E-15</c:v>
                </c:pt>
                <c:pt idx="344">
                  <c:v>1.7763568394002505E-15</c:v>
                </c:pt>
                <c:pt idx="345">
                  <c:v>5.1070259132757201E-15</c:v>
                </c:pt>
                <c:pt idx="346">
                  <c:v>5.1070259132757201E-15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4.8849813083506888E-15</c:v>
                </c:pt>
                <c:pt idx="352">
                  <c:v>6.8833827526759706E-15</c:v>
                </c:pt>
                <c:pt idx="353">
                  <c:v>4.4408920985006262E-15</c:v>
                </c:pt>
                <c:pt idx="354">
                  <c:v>4.4408920985006262E-15</c:v>
                </c:pt>
                <c:pt idx="355">
                  <c:v>7.5495165674510645E-15</c:v>
                </c:pt>
                <c:pt idx="356">
                  <c:v>7.7715611723760958E-15</c:v>
                </c:pt>
                <c:pt idx="357">
                  <c:v>8.659739592076221E-15</c:v>
                </c:pt>
                <c:pt idx="358">
                  <c:v>0</c:v>
                </c:pt>
                <c:pt idx="359">
                  <c:v>4.2188474935755949E-15</c:v>
                </c:pt>
                <c:pt idx="360">
                  <c:v>4.4408920985006262E-15</c:v>
                </c:pt>
                <c:pt idx="361">
                  <c:v>6.4392935428259079E-15</c:v>
                </c:pt>
                <c:pt idx="362">
                  <c:v>5.5511151231257827E-15</c:v>
                </c:pt>
                <c:pt idx="363">
                  <c:v>9.3258734068513149E-15</c:v>
                </c:pt>
                <c:pt idx="364">
                  <c:v>1.9984014443252818E-15</c:v>
                </c:pt>
                <c:pt idx="365">
                  <c:v>7.5495165674510645E-15</c:v>
                </c:pt>
                <c:pt idx="366">
                  <c:v>6.4392935428259079E-15</c:v>
                </c:pt>
                <c:pt idx="367">
                  <c:v>9.7699626167013776E-15</c:v>
                </c:pt>
                <c:pt idx="368">
                  <c:v>7.1054273576010019E-15</c:v>
                </c:pt>
                <c:pt idx="369">
                  <c:v>5.3290705182007514E-15</c:v>
                </c:pt>
                <c:pt idx="370">
                  <c:v>4.6629367034256575E-15</c:v>
                </c:pt>
                <c:pt idx="371">
                  <c:v>0</c:v>
                </c:pt>
                <c:pt idx="372">
                  <c:v>1.7763568394002505E-15</c:v>
                </c:pt>
                <c:pt idx="373">
                  <c:v>5.3290705182007514E-15</c:v>
                </c:pt>
                <c:pt idx="374">
                  <c:v>5.3290705182007514E-15</c:v>
                </c:pt>
                <c:pt idx="375">
                  <c:v>7.1054273576010019E-15</c:v>
                </c:pt>
                <c:pt idx="376">
                  <c:v>2.4424906541753444E-15</c:v>
                </c:pt>
                <c:pt idx="377">
                  <c:v>4.4408920985006262E-15</c:v>
                </c:pt>
                <c:pt idx="378">
                  <c:v>0</c:v>
                </c:pt>
                <c:pt idx="379">
                  <c:v>7.5495165674510645E-15</c:v>
                </c:pt>
                <c:pt idx="380">
                  <c:v>7.3274719625260332E-15</c:v>
                </c:pt>
                <c:pt idx="381">
                  <c:v>7.3274719625260332E-15</c:v>
                </c:pt>
                <c:pt idx="382">
                  <c:v>4.8849813083506888E-15</c:v>
                </c:pt>
                <c:pt idx="383">
                  <c:v>9.3258734068513149E-15</c:v>
                </c:pt>
                <c:pt idx="384">
                  <c:v>3.1086244689504383E-15</c:v>
                </c:pt>
                <c:pt idx="385">
                  <c:v>7.7715611723760958E-15</c:v>
                </c:pt>
                <c:pt idx="386">
                  <c:v>3.5527136788005009E-15</c:v>
                </c:pt>
                <c:pt idx="387">
                  <c:v>9.1038288019262836E-15</c:v>
                </c:pt>
                <c:pt idx="388">
                  <c:v>4.4408920985006262E-15</c:v>
                </c:pt>
                <c:pt idx="389">
                  <c:v>9.9920072216264089E-15</c:v>
                </c:pt>
                <c:pt idx="390">
                  <c:v>3.3306690738754696E-15</c:v>
                </c:pt>
                <c:pt idx="391">
                  <c:v>0</c:v>
                </c:pt>
                <c:pt idx="392">
                  <c:v>6.6613381477509392E-15</c:v>
                </c:pt>
                <c:pt idx="393">
                  <c:v>4.4408920985006262E-15</c:v>
                </c:pt>
                <c:pt idx="394">
                  <c:v>0</c:v>
                </c:pt>
                <c:pt idx="395">
                  <c:v>6.2172489379008766E-15</c:v>
                </c:pt>
                <c:pt idx="396">
                  <c:v>7.7715611723760958E-15</c:v>
                </c:pt>
                <c:pt idx="397">
                  <c:v>5.9952043329758453E-15</c:v>
                </c:pt>
                <c:pt idx="398">
                  <c:v>8.4376949871511897E-15</c:v>
                </c:pt>
                <c:pt idx="399">
                  <c:v>5.5511151231257827E-15</c:v>
                </c:pt>
                <c:pt idx="400">
                  <c:v>0</c:v>
                </c:pt>
                <c:pt idx="401">
                  <c:v>3.7747582837255322E-15</c:v>
                </c:pt>
                <c:pt idx="402">
                  <c:v>8.2156503822261584E-15</c:v>
                </c:pt>
                <c:pt idx="403">
                  <c:v>8.659739592076221E-15</c:v>
                </c:pt>
                <c:pt idx="404">
                  <c:v>5.1070259132757201E-15</c:v>
                </c:pt>
                <c:pt idx="405">
                  <c:v>6.4392935428259079E-15</c:v>
                </c:pt>
                <c:pt idx="406">
                  <c:v>0</c:v>
                </c:pt>
                <c:pt idx="407">
                  <c:v>8.4376949871511897E-15</c:v>
                </c:pt>
                <c:pt idx="408">
                  <c:v>0</c:v>
                </c:pt>
                <c:pt idx="409">
                  <c:v>0</c:v>
                </c:pt>
                <c:pt idx="410">
                  <c:v>5.773159728050814E-15</c:v>
                </c:pt>
                <c:pt idx="411">
                  <c:v>9.5479180117763462E-15</c:v>
                </c:pt>
                <c:pt idx="412">
                  <c:v>7.9936057773011271E-15</c:v>
                </c:pt>
                <c:pt idx="413">
                  <c:v>9.1038288019262836E-15</c:v>
                </c:pt>
                <c:pt idx="414">
                  <c:v>2.886579864025407E-15</c:v>
                </c:pt>
                <c:pt idx="415">
                  <c:v>0</c:v>
                </c:pt>
                <c:pt idx="416">
                  <c:v>5.3290705182007514E-15</c:v>
                </c:pt>
                <c:pt idx="417">
                  <c:v>0</c:v>
                </c:pt>
                <c:pt idx="418">
                  <c:v>1.7763568394002505E-15</c:v>
                </c:pt>
                <c:pt idx="419">
                  <c:v>0</c:v>
                </c:pt>
                <c:pt idx="420">
                  <c:v>6.8833827526759706E-15</c:v>
                </c:pt>
                <c:pt idx="421">
                  <c:v>0</c:v>
                </c:pt>
                <c:pt idx="422">
                  <c:v>0</c:v>
                </c:pt>
                <c:pt idx="423">
                  <c:v>4.8849813083506888E-15</c:v>
                </c:pt>
                <c:pt idx="424">
                  <c:v>7.7715611723760958E-15</c:v>
                </c:pt>
                <c:pt idx="425">
                  <c:v>4.4408920985006262E-15</c:v>
                </c:pt>
                <c:pt idx="426">
                  <c:v>7.1054273576010019E-15</c:v>
                </c:pt>
                <c:pt idx="427">
                  <c:v>2.2204460492503131E-15</c:v>
                </c:pt>
                <c:pt idx="428">
                  <c:v>7.3274719625260332E-15</c:v>
                </c:pt>
                <c:pt idx="429">
                  <c:v>2.6645352591003757E-15</c:v>
                </c:pt>
                <c:pt idx="430">
                  <c:v>2.2204460492503131E-15</c:v>
                </c:pt>
                <c:pt idx="431">
                  <c:v>6.8833827526759706E-15</c:v>
                </c:pt>
                <c:pt idx="432">
                  <c:v>0</c:v>
                </c:pt>
                <c:pt idx="433">
                  <c:v>3.9968028886505635E-15</c:v>
                </c:pt>
                <c:pt idx="434">
                  <c:v>7.5495165674510645E-15</c:v>
                </c:pt>
                <c:pt idx="435">
                  <c:v>7.3274719625260332E-15</c:v>
                </c:pt>
                <c:pt idx="436">
                  <c:v>8.2156503822261584E-15</c:v>
                </c:pt>
                <c:pt idx="437">
                  <c:v>8.4376949871511897E-15</c:v>
                </c:pt>
                <c:pt idx="438">
                  <c:v>3.1086244689504383E-15</c:v>
                </c:pt>
                <c:pt idx="439">
                  <c:v>2.886579864025407E-15</c:v>
                </c:pt>
                <c:pt idx="440">
                  <c:v>0</c:v>
                </c:pt>
                <c:pt idx="441">
                  <c:v>6.4392935428259079E-15</c:v>
                </c:pt>
                <c:pt idx="442">
                  <c:v>3.5527136788005009E-15</c:v>
                </c:pt>
                <c:pt idx="443">
                  <c:v>8.659739592076221E-15</c:v>
                </c:pt>
                <c:pt idx="444">
                  <c:v>5.3290705182007514E-15</c:v>
                </c:pt>
                <c:pt idx="445">
                  <c:v>2.4424906541753444E-15</c:v>
                </c:pt>
                <c:pt idx="446">
                  <c:v>4.6629367034256575E-15</c:v>
                </c:pt>
                <c:pt idx="447">
                  <c:v>4.2188474935755949E-15</c:v>
                </c:pt>
                <c:pt idx="448">
                  <c:v>4.8849813083506888E-15</c:v>
                </c:pt>
                <c:pt idx="449">
                  <c:v>7.3274719625260332E-15</c:v>
                </c:pt>
                <c:pt idx="450">
                  <c:v>8.659739592076221E-15</c:v>
                </c:pt>
                <c:pt idx="451">
                  <c:v>0</c:v>
                </c:pt>
                <c:pt idx="452">
                  <c:v>0</c:v>
                </c:pt>
                <c:pt idx="453">
                  <c:v>2.4424906541753444E-15</c:v>
                </c:pt>
                <c:pt idx="454">
                  <c:v>2.2204460492503131E-15</c:v>
                </c:pt>
                <c:pt idx="455">
                  <c:v>4.6629367034256575E-15</c:v>
                </c:pt>
                <c:pt idx="456">
                  <c:v>9.9920072216264089E-15</c:v>
                </c:pt>
                <c:pt idx="457">
                  <c:v>6.8833827526759706E-15</c:v>
                </c:pt>
                <c:pt idx="458">
                  <c:v>9.7699626167013776E-15</c:v>
                </c:pt>
                <c:pt idx="459">
                  <c:v>0</c:v>
                </c:pt>
                <c:pt idx="460">
                  <c:v>4.4408920985006262E-15</c:v>
                </c:pt>
                <c:pt idx="461">
                  <c:v>4.8849813083506888E-15</c:v>
                </c:pt>
                <c:pt idx="462">
                  <c:v>2.4424906541753444E-15</c:v>
                </c:pt>
                <c:pt idx="463">
                  <c:v>8.4376949871511897E-15</c:v>
                </c:pt>
                <c:pt idx="464">
                  <c:v>3.1086244689504383E-15</c:v>
                </c:pt>
                <c:pt idx="465">
                  <c:v>8.2156503822261584E-15</c:v>
                </c:pt>
                <c:pt idx="466">
                  <c:v>7.9936057773011271E-15</c:v>
                </c:pt>
                <c:pt idx="467">
                  <c:v>6.8833827526759706E-15</c:v>
                </c:pt>
                <c:pt idx="468">
                  <c:v>5.773159728050814E-15</c:v>
                </c:pt>
                <c:pt idx="469">
                  <c:v>3.3306690738754696E-15</c:v>
                </c:pt>
                <c:pt idx="470">
                  <c:v>9.3258734068513149E-15</c:v>
                </c:pt>
                <c:pt idx="471">
                  <c:v>9.5479180117763462E-15</c:v>
                </c:pt>
                <c:pt idx="472">
                  <c:v>3.7747582837255322E-15</c:v>
                </c:pt>
                <c:pt idx="473">
                  <c:v>7.3274719625260332E-15</c:v>
                </c:pt>
                <c:pt idx="474">
                  <c:v>3.7747582837255322E-15</c:v>
                </c:pt>
                <c:pt idx="475">
                  <c:v>0</c:v>
                </c:pt>
                <c:pt idx="476">
                  <c:v>8.8817841970012523E-15</c:v>
                </c:pt>
                <c:pt idx="477">
                  <c:v>2.4424906541753444E-15</c:v>
                </c:pt>
                <c:pt idx="478">
                  <c:v>5.3290705182007514E-15</c:v>
                </c:pt>
                <c:pt idx="479">
                  <c:v>5.5511151231257827E-15</c:v>
                </c:pt>
                <c:pt idx="480">
                  <c:v>5.5511151231257827E-15</c:v>
                </c:pt>
                <c:pt idx="481">
                  <c:v>6.4392935428259079E-15</c:v>
                </c:pt>
                <c:pt idx="482">
                  <c:v>0</c:v>
                </c:pt>
                <c:pt idx="483">
                  <c:v>0</c:v>
                </c:pt>
                <c:pt idx="484">
                  <c:v>4.8849813083506888E-15</c:v>
                </c:pt>
                <c:pt idx="485">
                  <c:v>2.6645352591003757E-15</c:v>
                </c:pt>
                <c:pt idx="486">
                  <c:v>0</c:v>
                </c:pt>
                <c:pt idx="487">
                  <c:v>6.6613381477509392E-15</c:v>
                </c:pt>
                <c:pt idx="488">
                  <c:v>7.1054273576010019E-15</c:v>
                </c:pt>
                <c:pt idx="489">
                  <c:v>0</c:v>
                </c:pt>
                <c:pt idx="490">
                  <c:v>7.5495165674510645E-15</c:v>
                </c:pt>
                <c:pt idx="491">
                  <c:v>6.2172489379008766E-15</c:v>
                </c:pt>
                <c:pt idx="492">
                  <c:v>5.3290705182007514E-15</c:v>
                </c:pt>
                <c:pt idx="493">
                  <c:v>2.6645352591003757E-15</c:v>
                </c:pt>
                <c:pt idx="494">
                  <c:v>1.9984014443252818E-15</c:v>
                </c:pt>
                <c:pt idx="495">
                  <c:v>2.886579864025407E-15</c:v>
                </c:pt>
                <c:pt idx="496">
                  <c:v>5.773159728050814E-15</c:v>
                </c:pt>
                <c:pt idx="497">
                  <c:v>0</c:v>
                </c:pt>
                <c:pt idx="498">
                  <c:v>4.6629367034256575E-15</c:v>
                </c:pt>
                <c:pt idx="499">
                  <c:v>1.9984014443252818E-15</c:v>
                </c:pt>
                <c:pt idx="500">
                  <c:v>5.9952043329758453E-15</c:v>
                </c:pt>
                <c:pt idx="501">
                  <c:v>7.1054273576010019E-15</c:v>
                </c:pt>
                <c:pt idx="502">
                  <c:v>2.4424906541753444E-15</c:v>
                </c:pt>
                <c:pt idx="503">
                  <c:v>0</c:v>
                </c:pt>
                <c:pt idx="504">
                  <c:v>6.8833827526759706E-15</c:v>
                </c:pt>
                <c:pt idx="505">
                  <c:v>9.7699626167013776E-15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5.9952043329758453E-15</c:v>
                </c:pt>
                <c:pt idx="510">
                  <c:v>0</c:v>
                </c:pt>
                <c:pt idx="511">
                  <c:v>4.2188474935755949E-15</c:v>
                </c:pt>
                <c:pt idx="512">
                  <c:v>4.8849813083506888E-15</c:v>
                </c:pt>
                <c:pt idx="513">
                  <c:v>5.773159728050814E-15</c:v>
                </c:pt>
                <c:pt idx="514">
                  <c:v>0</c:v>
                </c:pt>
                <c:pt idx="515">
                  <c:v>7.9936057773011271E-15</c:v>
                </c:pt>
                <c:pt idx="516">
                  <c:v>3.9968028886505635E-15</c:v>
                </c:pt>
                <c:pt idx="517">
                  <c:v>6.4392935428259079E-15</c:v>
                </c:pt>
                <c:pt idx="518">
                  <c:v>7.3274719625260332E-15</c:v>
                </c:pt>
                <c:pt idx="519">
                  <c:v>2.886579864025407E-15</c:v>
                </c:pt>
                <c:pt idx="520">
                  <c:v>8.4376949871511897E-15</c:v>
                </c:pt>
                <c:pt idx="521">
                  <c:v>5.1070259132757201E-15</c:v>
                </c:pt>
                <c:pt idx="522">
                  <c:v>4.8849813083506888E-15</c:v>
                </c:pt>
                <c:pt idx="523">
                  <c:v>7.7715611723760958E-15</c:v>
                </c:pt>
                <c:pt idx="524">
                  <c:v>3.1086244689504383E-15</c:v>
                </c:pt>
                <c:pt idx="525">
                  <c:v>9.1038288019262836E-15</c:v>
                </c:pt>
                <c:pt idx="526">
                  <c:v>4.4408920985006262E-15</c:v>
                </c:pt>
                <c:pt idx="527">
                  <c:v>4.8849813083506888E-15</c:v>
                </c:pt>
                <c:pt idx="528">
                  <c:v>6.2172489379008766E-15</c:v>
                </c:pt>
                <c:pt idx="529">
                  <c:v>0</c:v>
                </c:pt>
                <c:pt idx="530">
                  <c:v>3.5527136788005009E-15</c:v>
                </c:pt>
                <c:pt idx="531">
                  <c:v>2.886579864025407E-15</c:v>
                </c:pt>
                <c:pt idx="532">
                  <c:v>9.5479180117763462E-15</c:v>
                </c:pt>
                <c:pt idx="533">
                  <c:v>3.7747582837255322E-15</c:v>
                </c:pt>
                <c:pt idx="534">
                  <c:v>7.3274719625260332E-15</c:v>
                </c:pt>
                <c:pt idx="535">
                  <c:v>3.5527136788005009E-15</c:v>
                </c:pt>
                <c:pt idx="536">
                  <c:v>2.886579864025407E-15</c:v>
                </c:pt>
                <c:pt idx="537">
                  <c:v>2.4424906541753444E-15</c:v>
                </c:pt>
                <c:pt idx="538">
                  <c:v>0</c:v>
                </c:pt>
                <c:pt idx="539">
                  <c:v>4.6629367034256575E-15</c:v>
                </c:pt>
                <c:pt idx="540">
                  <c:v>9.1038288019262836E-15</c:v>
                </c:pt>
                <c:pt idx="541">
                  <c:v>7.7715611723760958E-15</c:v>
                </c:pt>
                <c:pt idx="542">
                  <c:v>9.5479180117763462E-15</c:v>
                </c:pt>
                <c:pt idx="543">
                  <c:v>3.9968028886505635E-15</c:v>
                </c:pt>
                <c:pt idx="544">
                  <c:v>4.4408920985006262E-15</c:v>
                </c:pt>
                <c:pt idx="545">
                  <c:v>5.5511151231257827E-15</c:v>
                </c:pt>
                <c:pt idx="546">
                  <c:v>6.8833827526759706E-15</c:v>
                </c:pt>
                <c:pt idx="547">
                  <c:v>5.3290705182007514E-15</c:v>
                </c:pt>
                <c:pt idx="548">
                  <c:v>0</c:v>
                </c:pt>
                <c:pt idx="549">
                  <c:v>2.2204460492503131E-15</c:v>
                </c:pt>
                <c:pt idx="550">
                  <c:v>5.1070259132757201E-15</c:v>
                </c:pt>
                <c:pt idx="551">
                  <c:v>0</c:v>
                </c:pt>
                <c:pt idx="552">
                  <c:v>2.886579864025407E-15</c:v>
                </c:pt>
                <c:pt idx="553">
                  <c:v>2.2204460492503131E-15</c:v>
                </c:pt>
                <c:pt idx="554">
                  <c:v>0</c:v>
                </c:pt>
                <c:pt idx="555">
                  <c:v>2.886579864025407E-15</c:v>
                </c:pt>
                <c:pt idx="556">
                  <c:v>2.4424906541753444E-15</c:v>
                </c:pt>
                <c:pt idx="557">
                  <c:v>8.4376949871511897E-15</c:v>
                </c:pt>
                <c:pt idx="558">
                  <c:v>3.3306690738754696E-15</c:v>
                </c:pt>
                <c:pt idx="559">
                  <c:v>8.2156503822261584E-15</c:v>
                </c:pt>
                <c:pt idx="560">
                  <c:v>5.9952043329758453E-15</c:v>
                </c:pt>
                <c:pt idx="561">
                  <c:v>9.7699626167013776E-15</c:v>
                </c:pt>
                <c:pt idx="562">
                  <c:v>2.886579864025407E-15</c:v>
                </c:pt>
                <c:pt idx="563">
                  <c:v>2.2204460492503131E-15</c:v>
                </c:pt>
                <c:pt idx="564">
                  <c:v>5.1070259132757201E-15</c:v>
                </c:pt>
                <c:pt idx="565">
                  <c:v>9.1038288019262836E-15</c:v>
                </c:pt>
                <c:pt idx="566">
                  <c:v>4.2188474935755949E-15</c:v>
                </c:pt>
                <c:pt idx="567">
                  <c:v>0</c:v>
                </c:pt>
                <c:pt idx="568">
                  <c:v>4.8849813083506888E-15</c:v>
                </c:pt>
                <c:pt idx="569">
                  <c:v>9.7699626167013776E-15</c:v>
                </c:pt>
                <c:pt idx="570">
                  <c:v>5.3290705182007514E-15</c:v>
                </c:pt>
                <c:pt idx="571">
                  <c:v>3.7747582837255322E-15</c:v>
                </c:pt>
                <c:pt idx="572">
                  <c:v>2.2204460492503131E-15</c:v>
                </c:pt>
                <c:pt idx="573">
                  <c:v>4.8849813083506888E-15</c:v>
                </c:pt>
                <c:pt idx="574">
                  <c:v>2.6645352591003757E-15</c:v>
                </c:pt>
                <c:pt idx="575">
                  <c:v>5.1070259132757201E-15</c:v>
                </c:pt>
                <c:pt idx="576">
                  <c:v>9.5479180117763462E-15</c:v>
                </c:pt>
                <c:pt idx="577">
                  <c:v>0</c:v>
                </c:pt>
                <c:pt idx="578">
                  <c:v>0</c:v>
                </c:pt>
                <c:pt idx="579">
                  <c:v>7.1054273576010019E-15</c:v>
                </c:pt>
                <c:pt idx="580">
                  <c:v>4.4408920985006262E-15</c:v>
                </c:pt>
                <c:pt idx="581">
                  <c:v>0</c:v>
                </c:pt>
                <c:pt idx="582">
                  <c:v>1.7763568394002505E-15</c:v>
                </c:pt>
                <c:pt idx="583">
                  <c:v>6.8833827526759706E-15</c:v>
                </c:pt>
                <c:pt idx="584">
                  <c:v>4.2188474935755949E-15</c:v>
                </c:pt>
                <c:pt idx="585">
                  <c:v>0</c:v>
                </c:pt>
                <c:pt idx="586">
                  <c:v>3.9968028886505635E-15</c:v>
                </c:pt>
                <c:pt idx="587">
                  <c:v>0</c:v>
                </c:pt>
                <c:pt idx="588">
                  <c:v>7.9936057773011271E-15</c:v>
                </c:pt>
                <c:pt idx="589">
                  <c:v>1.9984014443252818E-15</c:v>
                </c:pt>
                <c:pt idx="590">
                  <c:v>5.773159728050814E-15</c:v>
                </c:pt>
                <c:pt idx="591">
                  <c:v>1.7763568394002505E-15</c:v>
                </c:pt>
                <c:pt idx="592">
                  <c:v>1.9984014443252818E-15</c:v>
                </c:pt>
                <c:pt idx="593">
                  <c:v>3.7747582837255322E-15</c:v>
                </c:pt>
                <c:pt idx="594">
                  <c:v>5.5511151231257827E-15</c:v>
                </c:pt>
                <c:pt idx="595">
                  <c:v>8.8817841970012523E-15</c:v>
                </c:pt>
                <c:pt idx="596">
                  <c:v>7.3274719625260332E-15</c:v>
                </c:pt>
                <c:pt idx="597">
                  <c:v>5.1070259132757201E-15</c:v>
                </c:pt>
                <c:pt idx="598">
                  <c:v>1.7763568394002505E-15</c:v>
                </c:pt>
                <c:pt idx="599">
                  <c:v>6.6613381477509392E-15</c:v>
                </c:pt>
                <c:pt idx="600">
                  <c:v>2.4424906541753444E-15</c:v>
                </c:pt>
                <c:pt idx="601">
                  <c:v>4.2188474935755949E-15</c:v>
                </c:pt>
                <c:pt idx="602">
                  <c:v>1.9984014443252818E-15</c:v>
                </c:pt>
                <c:pt idx="603">
                  <c:v>8.2156503822261584E-15</c:v>
                </c:pt>
                <c:pt idx="604">
                  <c:v>7.9936057773011271E-15</c:v>
                </c:pt>
                <c:pt idx="605">
                  <c:v>5.3290705182007514E-15</c:v>
                </c:pt>
                <c:pt idx="606">
                  <c:v>2.886579864025407E-15</c:v>
                </c:pt>
                <c:pt idx="607">
                  <c:v>8.659739592076221E-15</c:v>
                </c:pt>
                <c:pt idx="608">
                  <c:v>5.773159728050814E-15</c:v>
                </c:pt>
                <c:pt idx="609">
                  <c:v>9.3258734068513149E-15</c:v>
                </c:pt>
                <c:pt idx="610">
                  <c:v>7.5495165674510645E-15</c:v>
                </c:pt>
                <c:pt idx="611">
                  <c:v>0</c:v>
                </c:pt>
                <c:pt idx="612">
                  <c:v>0</c:v>
                </c:pt>
                <c:pt idx="613">
                  <c:v>3.7747582837255322E-15</c:v>
                </c:pt>
                <c:pt idx="614">
                  <c:v>0</c:v>
                </c:pt>
                <c:pt idx="615">
                  <c:v>5.5511151231257827E-15</c:v>
                </c:pt>
                <c:pt idx="616">
                  <c:v>7.3274719625260332E-15</c:v>
                </c:pt>
                <c:pt idx="617">
                  <c:v>5.1070259132757201E-15</c:v>
                </c:pt>
                <c:pt idx="618">
                  <c:v>2.4424906541753444E-15</c:v>
                </c:pt>
                <c:pt idx="619">
                  <c:v>1.9984014443252818E-15</c:v>
                </c:pt>
                <c:pt idx="620">
                  <c:v>9.1038288019262836E-15</c:v>
                </c:pt>
                <c:pt idx="621">
                  <c:v>3.1086244689504383E-15</c:v>
                </c:pt>
                <c:pt idx="622">
                  <c:v>0</c:v>
                </c:pt>
                <c:pt idx="623">
                  <c:v>9.1038288019262836E-15</c:v>
                </c:pt>
                <c:pt idx="624">
                  <c:v>6.4392935428259079E-15</c:v>
                </c:pt>
                <c:pt idx="625">
                  <c:v>0</c:v>
                </c:pt>
                <c:pt idx="626">
                  <c:v>6.8833827526759706E-15</c:v>
                </c:pt>
                <c:pt idx="627">
                  <c:v>0</c:v>
                </c:pt>
                <c:pt idx="628">
                  <c:v>7.1054273576010019E-15</c:v>
                </c:pt>
                <c:pt idx="629">
                  <c:v>3.7747582837255322E-15</c:v>
                </c:pt>
                <c:pt idx="630">
                  <c:v>2.886579864025407E-15</c:v>
                </c:pt>
                <c:pt idx="631">
                  <c:v>2.2204460492503131E-15</c:v>
                </c:pt>
                <c:pt idx="632">
                  <c:v>3.7747582837255322E-15</c:v>
                </c:pt>
                <c:pt idx="633">
                  <c:v>4.6629367034256575E-15</c:v>
                </c:pt>
                <c:pt idx="634">
                  <c:v>0</c:v>
                </c:pt>
                <c:pt idx="635">
                  <c:v>0</c:v>
                </c:pt>
                <c:pt idx="636">
                  <c:v>4.6629367034256575E-15</c:v>
                </c:pt>
                <c:pt idx="637">
                  <c:v>6.8833827526759706E-15</c:v>
                </c:pt>
                <c:pt idx="638">
                  <c:v>3.9968028886505635E-15</c:v>
                </c:pt>
                <c:pt idx="639">
                  <c:v>6.6613381477509392E-15</c:v>
                </c:pt>
                <c:pt idx="640">
                  <c:v>7.9936057773011271E-15</c:v>
                </c:pt>
                <c:pt idx="641">
                  <c:v>0</c:v>
                </c:pt>
                <c:pt idx="642">
                  <c:v>5.5511151231257827E-15</c:v>
                </c:pt>
                <c:pt idx="643">
                  <c:v>4.2188474935755949E-15</c:v>
                </c:pt>
                <c:pt idx="644">
                  <c:v>0</c:v>
                </c:pt>
                <c:pt idx="645">
                  <c:v>6.8833827526759706E-15</c:v>
                </c:pt>
                <c:pt idx="646">
                  <c:v>0</c:v>
                </c:pt>
                <c:pt idx="647">
                  <c:v>5.773159728050814E-15</c:v>
                </c:pt>
                <c:pt idx="648">
                  <c:v>5.773159728050814E-15</c:v>
                </c:pt>
                <c:pt idx="649">
                  <c:v>4.6629367034256575E-15</c:v>
                </c:pt>
                <c:pt idx="650">
                  <c:v>8.4376949871511897E-15</c:v>
                </c:pt>
                <c:pt idx="651">
                  <c:v>3.7747582837255322E-15</c:v>
                </c:pt>
                <c:pt idx="652">
                  <c:v>7.1054273576010019E-15</c:v>
                </c:pt>
                <c:pt idx="653">
                  <c:v>5.9952043329758453E-15</c:v>
                </c:pt>
                <c:pt idx="654">
                  <c:v>1.9984014443252818E-15</c:v>
                </c:pt>
                <c:pt idx="655">
                  <c:v>7.7715611723760958E-15</c:v>
                </c:pt>
                <c:pt idx="656">
                  <c:v>6.4392935428259079E-15</c:v>
                </c:pt>
                <c:pt idx="657">
                  <c:v>2.6645352591003757E-15</c:v>
                </c:pt>
                <c:pt idx="658">
                  <c:v>3.9968028886505635E-15</c:v>
                </c:pt>
                <c:pt idx="659">
                  <c:v>0</c:v>
                </c:pt>
                <c:pt idx="660">
                  <c:v>7.5495165674510645E-15</c:v>
                </c:pt>
                <c:pt idx="661">
                  <c:v>2.886579864025407E-15</c:v>
                </c:pt>
                <c:pt idx="662">
                  <c:v>6.6613381477509392E-15</c:v>
                </c:pt>
                <c:pt idx="663">
                  <c:v>7.7715611723760958E-15</c:v>
                </c:pt>
                <c:pt idx="664">
                  <c:v>9.5479180117763462E-15</c:v>
                </c:pt>
                <c:pt idx="665">
                  <c:v>0</c:v>
                </c:pt>
                <c:pt idx="666">
                  <c:v>7.7715611723760958E-15</c:v>
                </c:pt>
                <c:pt idx="667">
                  <c:v>5.5511151231257827E-15</c:v>
                </c:pt>
                <c:pt idx="668">
                  <c:v>2.886579864025407E-15</c:v>
                </c:pt>
                <c:pt idx="669">
                  <c:v>2.6645352591003757E-15</c:v>
                </c:pt>
                <c:pt idx="670">
                  <c:v>6.6613381477509392E-15</c:v>
                </c:pt>
                <c:pt idx="671">
                  <c:v>8.8817841970012523E-15</c:v>
                </c:pt>
                <c:pt idx="672">
                  <c:v>8.2156503822261584E-15</c:v>
                </c:pt>
                <c:pt idx="673">
                  <c:v>3.3306690738754696E-15</c:v>
                </c:pt>
                <c:pt idx="674">
                  <c:v>0</c:v>
                </c:pt>
                <c:pt idx="675">
                  <c:v>0</c:v>
                </c:pt>
                <c:pt idx="676">
                  <c:v>4.4408920985006262E-15</c:v>
                </c:pt>
                <c:pt idx="677">
                  <c:v>1.9984014443252818E-15</c:v>
                </c:pt>
                <c:pt idx="678">
                  <c:v>6.8833827526759706E-15</c:v>
                </c:pt>
                <c:pt idx="679">
                  <c:v>8.4376949871511897E-15</c:v>
                </c:pt>
                <c:pt idx="680">
                  <c:v>8.4376949871511897E-15</c:v>
                </c:pt>
                <c:pt idx="681">
                  <c:v>5.773159728050814E-15</c:v>
                </c:pt>
                <c:pt idx="682">
                  <c:v>0</c:v>
                </c:pt>
                <c:pt idx="683">
                  <c:v>7.7715611723760958E-15</c:v>
                </c:pt>
                <c:pt idx="684">
                  <c:v>5.9952043329758453E-15</c:v>
                </c:pt>
                <c:pt idx="685">
                  <c:v>6.2172489379008766E-15</c:v>
                </c:pt>
                <c:pt idx="686">
                  <c:v>5.1070259132757201E-15</c:v>
                </c:pt>
                <c:pt idx="687">
                  <c:v>6.6613381477509392E-15</c:v>
                </c:pt>
                <c:pt idx="688">
                  <c:v>5.3290705182007514E-15</c:v>
                </c:pt>
                <c:pt idx="689">
                  <c:v>9.5479180117763462E-15</c:v>
                </c:pt>
                <c:pt idx="690">
                  <c:v>5.1070259132757201E-15</c:v>
                </c:pt>
                <c:pt idx="691">
                  <c:v>4.2188474935755949E-15</c:v>
                </c:pt>
                <c:pt idx="692">
                  <c:v>7.9936057773011271E-15</c:v>
                </c:pt>
                <c:pt idx="693">
                  <c:v>5.1070259132757201E-15</c:v>
                </c:pt>
                <c:pt idx="694">
                  <c:v>6.6613381477509392E-15</c:v>
                </c:pt>
                <c:pt idx="695">
                  <c:v>9.1038288019262836E-15</c:v>
                </c:pt>
                <c:pt idx="696">
                  <c:v>8.659739592076221E-15</c:v>
                </c:pt>
                <c:pt idx="697">
                  <c:v>5.1070259132757201E-15</c:v>
                </c:pt>
                <c:pt idx="698">
                  <c:v>7.9936057773011271E-15</c:v>
                </c:pt>
                <c:pt idx="699">
                  <c:v>8.4376949871511897E-15</c:v>
                </c:pt>
                <c:pt idx="700">
                  <c:v>3.5527136788005009E-15</c:v>
                </c:pt>
                <c:pt idx="701">
                  <c:v>0</c:v>
                </c:pt>
                <c:pt idx="702">
                  <c:v>7.1054273576010019E-15</c:v>
                </c:pt>
                <c:pt idx="703">
                  <c:v>4.2188474935755949E-15</c:v>
                </c:pt>
                <c:pt idx="704">
                  <c:v>7.7715611723760958E-15</c:v>
                </c:pt>
                <c:pt idx="705">
                  <c:v>5.773159728050814E-15</c:v>
                </c:pt>
                <c:pt idx="706">
                  <c:v>9.5479180117763462E-15</c:v>
                </c:pt>
                <c:pt idx="707">
                  <c:v>1.9984014443252818E-15</c:v>
                </c:pt>
                <c:pt idx="708">
                  <c:v>4.2188474935755949E-15</c:v>
                </c:pt>
                <c:pt idx="709">
                  <c:v>2.4424906541753444E-15</c:v>
                </c:pt>
                <c:pt idx="710">
                  <c:v>8.8817841970012523E-15</c:v>
                </c:pt>
                <c:pt idx="711">
                  <c:v>3.3306690738754696E-15</c:v>
                </c:pt>
                <c:pt idx="712">
                  <c:v>5.5511151231257827E-15</c:v>
                </c:pt>
                <c:pt idx="713">
                  <c:v>0</c:v>
                </c:pt>
                <c:pt idx="714">
                  <c:v>9.1038288019262836E-15</c:v>
                </c:pt>
                <c:pt idx="715">
                  <c:v>6.6613381477509392E-15</c:v>
                </c:pt>
                <c:pt idx="716">
                  <c:v>0</c:v>
                </c:pt>
                <c:pt idx="717">
                  <c:v>9.3258734068513149E-15</c:v>
                </c:pt>
                <c:pt idx="718">
                  <c:v>6.8833827526759706E-15</c:v>
                </c:pt>
                <c:pt idx="719">
                  <c:v>0</c:v>
                </c:pt>
                <c:pt idx="720">
                  <c:v>4.4408920985006262E-15</c:v>
                </c:pt>
                <c:pt idx="721">
                  <c:v>0</c:v>
                </c:pt>
                <c:pt idx="722">
                  <c:v>1.7763568394002505E-15</c:v>
                </c:pt>
                <c:pt idx="723">
                  <c:v>5.773159728050814E-15</c:v>
                </c:pt>
                <c:pt idx="724">
                  <c:v>5.3290705182007514E-15</c:v>
                </c:pt>
                <c:pt idx="725">
                  <c:v>9.9920072216264089E-15</c:v>
                </c:pt>
                <c:pt idx="726">
                  <c:v>8.4376949871511897E-15</c:v>
                </c:pt>
                <c:pt idx="727">
                  <c:v>3.7747582837255322E-15</c:v>
                </c:pt>
                <c:pt idx="728">
                  <c:v>2.6645352591003757E-15</c:v>
                </c:pt>
                <c:pt idx="729">
                  <c:v>3.5527136788005009E-15</c:v>
                </c:pt>
                <c:pt idx="730">
                  <c:v>5.9952043329758453E-15</c:v>
                </c:pt>
                <c:pt idx="731">
                  <c:v>5.9952043329758453E-15</c:v>
                </c:pt>
                <c:pt idx="732">
                  <c:v>4.4408920985006262E-15</c:v>
                </c:pt>
                <c:pt idx="733">
                  <c:v>2.6645352591003757E-15</c:v>
                </c:pt>
                <c:pt idx="734">
                  <c:v>6.8833827526759706E-15</c:v>
                </c:pt>
                <c:pt idx="735">
                  <c:v>5.5511151231257827E-15</c:v>
                </c:pt>
                <c:pt idx="736">
                  <c:v>4.2188474935755949E-15</c:v>
                </c:pt>
                <c:pt idx="737">
                  <c:v>6.6613381477509392E-15</c:v>
                </c:pt>
                <c:pt idx="738">
                  <c:v>7.3274719625260332E-15</c:v>
                </c:pt>
                <c:pt idx="739">
                  <c:v>3.3306690738754696E-15</c:v>
                </c:pt>
                <c:pt idx="740">
                  <c:v>6.2172489379008766E-15</c:v>
                </c:pt>
                <c:pt idx="741">
                  <c:v>0</c:v>
                </c:pt>
                <c:pt idx="742">
                  <c:v>7.7715611723760958E-15</c:v>
                </c:pt>
                <c:pt idx="743">
                  <c:v>0</c:v>
                </c:pt>
                <c:pt idx="744">
                  <c:v>7.1054273576010019E-15</c:v>
                </c:pt>
                <c:pt idx="745">
                  <c:v>6.8833827526759706E-15</c:v>
                </c:pt>
                <c:pt idx="746">
                  <c:v>2.4424906541753444E-15</c:v>
                </c:pt>
                <c:pt idx="747">
                  <c:v>5.1070259132757201E-15</c:v>
                </c:pt>
                <c:pt idx="748">
                  <c:v>9.3258734068513149E-15</c:v>
                </c:pt>
                <c:pt idx="749">
                  <c:v>4.4408920985006262E-15</c:v>
                </c:pt>
                <c:pt idx="750">
                  <c:v>9.3258734068513149E-15</c:v>
                </c:pt>
                <c:pt idx="751">
                  <c:v>5.5511151231257827E-15</c:v>
                </c:pt>
                <c:pt idx="752">
                  <c:v>8.2156503822261584E-15</c:v>
                </c:pt>
                <c:pt idx="753">
                  <c:v>0</c:v>
                </c:pt>
                <c:pt idx="754">
                  <c:v>0</c:v>
                </c:pt>
                <c:pt idx="755">
                  <c:v>5.3290705182007514E-15</c:v>
                </c:pt>
                <c:pt idx="756">
                  <c:v>8.8817841970012523E-15</c:v>
                </c:pt>
                <c:pt idx="757">
                  <c:v>6.6613381477509392E-15</c:v>
                </c:pt>
                <c:pt idx="758">
                  <c:v>8.4376949871511897E-15</c:v>
                </c:pt>
                <c:pt idx="759">
                  <c:v>5.3290705182007514E-15</c:v>
                </c:pt>
                <c:pt idx="760">
                  <c:v>2.4424906541753444E-15</c:v>
                </c:pt>
                <c:pt idx="761">
                  <c:v>4.2188474935755949E-15</c:v>
                </c:pt>
                <c:pt idx="762">
                  <c:v>8.2156503822261584E-15</c:v>
                </c:pt>
                <c:pt idx="763">
                  <c:v>6.2172489379008766E-15</c:v>
                </c:pt>
                <c:pt idx="764">
                  <c:v>0</c:v>
                </c:pt>
                <c:pt idx="765">
                  <c:v>3.5527136788005009E-15</c:v>
                </c:pt>
                <c:pt idx="766">
                  <c:v>5.5511151231257827E-15</c:v>
                </c:pt>
                <c:pt idx="767">
                  <c:v>5.3290705182007514E-15</c:v>
                </c:pt>
                <c:pt idx="768">
                  <c:v>0</c:v>
                </c:pt>
                <c:pt idx="769">
                  <c:v>9.1038288019262836E-15</c:v>
                </c:pt>
                <c:pt idx="770">
                  <c:v>5.9952043329758453E-15</c:v>
                </c:pt>
                <c:pt idx="771">
                  <c:v>9.5479180117763462E-15</c:v>
                </c:pt>
                <c:pt idx="772">
                  <c:v>7.1054273576010019E-15</c:v>
                </c:pt>
                <c:pt idx="773">
                  <c:v>8.659739592076221E-15</c:v>
                </c:pt>
                <c:pt idx="774">
                  <c:v>4.2188474935755949E-15</c:v>
                </c:pt>
                <c:pt idx="775">
                  <c:v>3.7747582837255322E-15</c:v>
                </c:pt>
                <c:pt idx="776">
                  <c:v>0</c:v>
                </c:pt>
                <c:pt idx="777">
                  <c:v>0</c:v>
                </c:pt>
                <c:pt idx="778">
                  <c:v>4.2188474935755949E-15</c:v>
                </c:pt>
                <c:pt idx="779">
                  <c:v>8.4376949871511897E-15</c:v>
                </c:pt>
                <c:pt idx="780">
                  <c:v>1.9984014443252818E-15</c:v>
                </c:pt>
                <c:pt idx="781">
                  <c:v>8.8817841970012523E-15</c:v>
                </c:pt>
                <c:pt idx="782">
                  <c:v>6.8833827526759706E-15</c:v>
                </c:pt>
                <c:pt idx="783">
                  <c:v>3.7747582837255322E-15</c:v>
                </c:pt>
                <c:pt idx="784">
                  <c:v>8.4376949871511897E-15</c:v>
                </c:pt>
                <c:pt idx="785">
                  <c:v>6.2172489379008766E-15</c:v>
                </c:pt>
                <c:pt idx="786">
                  <c:v>0</c:v>
                </c:pt>
                <c:pt idx="787">
                  <c:v>0</c:v>
                </c:pt>
                <c:pt idx="788">
                  <c:v>8.659739592076221E-15</c:v>
                </c:pt>
                <c:pt idx="789">
                  <c:v>3.5527136788005009E-15</c:v>
                </c:pt>
                <c:pt idx="790">
                  <c:v>9.5479180117763462E-15</c:v>
                </c:pt>
                <c:pt idx="791">
                  <c:v>9.1038288019262836E-15</c:v>
                </c:pt>
                <c:pt idx="792">
                  <c:v>5.9952043329758453E-15</c:v>
                </c:pt>
                <c:pt idx="793">
                  <c:v>9.5479180117763462E-15</c:v>
                </c:pt>
                <c:pt idx="794">
                  <c:v>9.3258734068513149E-15</c:v>
                </c:pt>
                <c:pt idx="795">
                  <c:v>3.1086244689504383E-15</c:v>
                </c:pt>
                <c:pt idx="796">
                  <c:v>6.6613381477509392E-15</c:v>
                </c:pt>
                <c:pt idx="797">
                  <c:v>7.3274719625260332E-15</c:v>
                </c:pt>
                <c:pt idx="798">
                  <c:v>7.5495165674510645E-15</c:v>
                </c:pt>
                <c:pt idx="799">
                  <c:v>0</c:v>
                </c:pt>
                <c:pt idx="800">
                  <c:v>9.3258734068513149E-15</c:v>
                </c:pt>
                <c:pt idx="801">
                  <c:v>9.3258734068513149E-15</c:v>
                </c:pt>
                <c:pt idx="802">
                  <c:v>8.4376949871511897E-15</c:v>
                </c:pt>
                <c:pt idx="803">
                  <c:v>3.5527136788005009E-15</c:v>
                </c:pt>
                <c:pt idx="804">
                  <c:v>7.1054273576010019E-15</c:v>
                </c:pt>
                <c:pt idx="805">
                  <c:v>7.5495165674510645E-15</c:v>
                </c:pt>
                <c:pt idx="806">
                  <c:v>5.3290705182007514E-15</c:v>
                </c:pt>
                <c:pt idx="807">
                  <c:v>7.1054273576010019E-15</c:v>
                </c:pt>
                <c:pt idx="808">
                  <c:v>0</c:v>
                </c:pt>
                <c:pt idx="809">
                  <c:v>0</c:v>
                </c:pt>
                <c:pt idx="810">
                  <c:v>4.4408920985006262E-15</c:v>
                </c:pt>
                <c:pt idx="811">
                  <c:v>5.773159728050814E-15</c:v>
                </c:pt>
                <c:pt idx="812">
                  <c:v>0</c:v>
                </c:pt>
                <c:pt idx="813">
                  <c:v>7.5495165674510645E-15</c:v>
                </c:pt>
                <c:pt idx="814">
                  <c:v>8.4376949871511897E-15</c:v>
                </c:pt>
                <c:pt idx="815">
                  <c:v>8.4376949871511897E-15</c:v>
                </c:pt>
                <c:pt idx="816">
                  <c:v>0</c:v>
                </c:pt>
                <c:pt idx="817">
                  <c:v>6.6613381477509392E-15</c:v>
                </c:pt>
                <c:pt idx="818">
                  <c:v>9.7699626167013776E-15</c:v>
                </c:pt>
                <c:pt idx="819">
                  <c:v>0</c:v>
                </c:pt>
                <c:pt idx="820">
                  <c:v>0</c:v>
                </c:pt>
                <c:pt idx="821">
                  <c:v>5.3290705182007514E-15</c:v>
                </c:pt>
                <c:pt idx="822">
                  <c:v>3.5527136788005009E-15</c:v>
                </c:pt>
                <c:pt idx="823">
                  <c:v>8.8817841970012523E-15</c:v>
                </c:pt>
                <c:pt idx="824">
                  <c:v>4.8849813083506888E-15</c:v>
                </c:pt>
                <c:pt idx="825">
                  <c:v>4.8849813083506888E-15</c:v>
                </c:pt>
                <c:pt idx="826">
                  <c:v>4.4408920985006262E-15</c:v>
                </c:pt>
                <c:pt idx="827">
                  <c:v>8.4376949871511897E-15</c:v>
                </c:pt>
                <c:pt idx="828">
                  <c:v>0</c:v>
                </c:pt>
                <c:pt idx="829">
                  <c:v>7.9936057773011271E-15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4.4408920985006262E-15</c:v>
                </c:pt>
                <c:pt idx="834">
                  <c:v>9.3258734068513149E-15</c:v>
                </c:pt>
                <c:pt idx="835">
                  <c:v>5.3290705182007514E-15</c:v>
                </c:pt>
                <c:pt idx="836">
                  <c:v>7.9936057773011271E-15</c:v>
                </c:pt>
                <c:pt idx="837">
                  <c:v>9.7699626167013776E-15</c:v>
                </c:pt>
                <c:pt idx="838">
                  <c:v>4.8849813083506888E-15</c:v>
                </c:pt>
                <c:pt idx="839">
                  <c:v>5.3290705182007514E-15</c:v>
                </c:pt>
                <c:pt idx="840">
                  <c:v>6.2172489379008766E-15</c:v>
                </c:pt>
                <c:pt idx="841">
                  <c:v>5.773159728050814E-15</c:v>
                </c:pt>
                <c:pt idx="842">
                  <c:v>7.5495165674510645E-15</c:v>
                </c:pt>
                <c:pt idx="843">
                  <c:v>8.4376949871511897E-15</c:v>
                </c:pt>
                <c:pt idx="844">
                  <c:v>8.8817841970012523E-15</c:v>
                </c:pt>
                <c:pt idx="845">
                  <c:v>0</c:v>
                </c:pt>
                <c:pt idx="846">
                  <c:v>5.3290705182007514E-15</c:v>
                </c:pt>
                <c:pt idx="847">
                  <c:v>4.8849813083506888E-15</c:v>
                </c:pt>
                <c:pt idx="848">
                  <c:v>4.4408920985006262E-15</c:v>
                </c:pt>
                <c:pt idx="849">
                  <c:v>9.3258734068513149E-15</c:v>
                </c:pt>
                <c:pt idx="850">
                  <c:v>7.9936057773011271E-15</c:v>
                </c:pt>
                <c:pt idx="851">
                  <c:v>5.773159728050814E-15</c:v>
                </c:pt>
                <c:pt idx="852">
                  <c:v>1.021405182655144E-14</c:v>
                </c:pt>
                <c:pt idx="853">
                  <c:v>0</c:v>
                </c:pt>
                <c:pt idx="854">
                  <c:v>7.5495165674510645E-15</c:v>
                </c:pt>
                <c:pt idx="855">
                  <c:v>0</c:v>
                </c:pt>
                <c:pt idx="856">
                  <c:v>6.6613381477509392E-15</c:v>
                </c:pt>
                <c:pt idx="857">
                  <c:v>8.4376949871511897E-15</c:v>
                </c:pt>
                <c:pt idx="858">
                  <c:v>9.7699626167013776E-15</c:v>
                </c:pt>
                <c:pt idx="859">
                  <c:v>6.6613381477509392E-15</c:v>
                </c:pt>
                <c:pt idx="860">
                  <c:v>6.2172489379008766E-15</c:v>
                </c:pt>
                <c:pt idx="861">
                  <c:v>0</c:v>
                </c:pt>
                <c:pt idx="862">
                  <c:v>3.9968028886505635E-15</c:v>
                </c:pt>
                <c:pt idx="863">
                  <c:v>3.5527136788005009E-15</c:v>
                </c:pt>
                <c:pt idx="864">
                  <c:v>8.8817841970012523E-15</c:v>
                </c:pt>
                <c:pt idx="865">
                  <c:v>3.5527136788005009E-15</c:v>
                </c:pt>
                <c:pt idx="866">
                  <c:v>7.5495165674510645E-15</c:v>
                </c:pt>
                <c:pt idx="867">
                  <c:v>4.4408920985006262E-15</c:v>
                </c:pt>
                <c:pt idx="868">
                  <c:v>6.2172489379008766E-15</c:v>
                </c:pt>
                <c:pt idx="869">
                  <c:v>6.2172489379008766E-15</c:v>
                </c:pt>
                <c:pt idx="870">
                  <c:v>7.9936057773011271E-15</c:v>
                </c:pt>
                <c:pt idx="871">
                  <c:v>9.7699626167013776E-15</c:v>
                </c:pt>
                <c:pt idx="872">
                  <c:v>0</c:v>
                </c:pt>
                <c:pt idx="873">
                  <c:v>7.1054273576010019E-15</c:v>
                </c:pt>
                <c:pt idx="874">
                  <c:v>6.2172489379008766E-15</c:v>
                </c:pt>
                <c:pt idx="875">
                  <c:v>3.5527136788005009E-15</c:v>
                </c:pt>
                <c:pt idx="876">
                  <c:v>0</c:v>
                </c:pt>
                <c:pt idx="877">
                  <c:v>7.9936057773011271E-15</c:v>
                </c:pt>
                <c:pt idx="878">
                  <c:v>8.8817841970012523E-15</c:v>
                </c:pt>
                <c:pt idx="879">
                  <c:v>0</c:v>
                </c:pt>
                <c:pt idx="880">
                  <c:v>5.3290705182007514E-15</c:v>
                </c:pt>
                <c:pt idx="881">
                  <c:v>0</c:v>
                </c:pt>
                <c:pt idx="882">
                  <c:v>7.9936057773011271E-15</c:v>
                </c:pt>
                <c:pt idx="883">
                  <c:v>4.8849813083506888E-15</c:v>
                </c:pt>
                <c:pt idx="884">
                  <c:v>6.2172489379008766E-15</c:v>
                </c:pt>
                <c:pt idx="885">
                  <c:v>7.9936057773011271E-15</c:v>
                </c:pt>
                <c:pt idx="886">
                  <c:v>8.4376949871511897E-15</c:v>
                </c:pt>
                <c:pt idx="887">
                  <c:v>4.4408920985006262E-15</c:v>
                </c:pt>
                <c:pt idx="888">
                  <c:v>0</c:v>
                </c:pt>
                <c:pt idx="889">
                  <c:v>0</c:v>
                </c:pt>
                <c:pt idx="890">
                  <c:v>5.773159728050814E-15</c:v>
                </c:pt>
                <c:pt idx="891">
                  <c:v>9.7699626167013776E-15</c:v>
                </c:pt>
                <c:pt idx="892">
                  <c:v>4.8849813083506888E-15</c:v>
                </c:pt>
                <c:pt idx="893">
                  <c:v>0</c:v>
                </c:pt>
                <c:pt idx="894">
                  <c:v>5.3290705182007514E-15</c:v>
                </c:pt>
                <c:pt idx="895">
                  <c:v>0</c:v>
                </c:pt>
                <c:pt idx="896">
                  <c:v>7.1054273576010019E-15</c:v>
                </c:pt>
                <c:pt idx="897">
                  <c:v>4.8849813083506888E-15</c:v>
                </c:pt>
                <c:pt idx="898">
                  <c:v>0</c:v>
                </c:pt>
                <c:pt idx="899">
                  <c:v>6.2172489379008766E-15</c:v>
                </c:pt>
                <c:pt idx="900">
                  <c:v>0</c:v>
                </c:pt>
                <c:pt idx="901">
                  <c:v>4.8849813083506888E-15</c:v>
                </c:pt>
                <c:pt idx="902">
                  <c:v>0</c:v>
                </c:pt>
                <c:pt idx="903">
                  <c:v>3.9968028886505635E-15</c:v>
                </c:pt>
                <c:pt idx="904">
                  <c:v>5.3290705182007514E-15</c:v>
                </c:pt>
                <c:pt idx="905">
                  <c:v>6.2172489379008766E-15</c:v>
                </c:pt>
                <c:pt idx="906">
                  <c:v>6.2172489379008766E-15</c:v>
                </c:pt>
                <c:pt idx="907">
                  <c:v>5.3290705182007514E-15</c:v>
                </c:pt>
                <c:pt idx="908">
                  <c:v>0</c:v>
                </c:pt>
                <c:pt idx="909">
                  <c:v>3.9968028886505635E-15</c:v>
                </c:pt>
                <c:pt idx="910">
                  <c:v>0</c:v>
                </c:pt>
                <c:pt idx="911">
                  <c:v>9.3258734068513149E-15</c:v>
                </c:pt>
                <c:pt idx="912">
                  <c:v>3.5527136788005009E-15</c:v>
                </c:pt>
                <c:pt idx="913">
                  <c:v>4.4408920985006262E-15</c:v>
                </c:pt>
                <c:pt idx="914">
                  <c:v>6.6613381477509392E-15</c:v>
                </c:pt>
                <c:pt idx="915">
                  <c:v>4.8849813083506888E-15</c:v>
                </c:pt>
                <c:pt idx="916">
                  <c:v>5.3290705182007514E-15</c:v>
                </c:pt>
                <c:pt idx="917">
                  <c:v>0</c:v>
                </c:pt>
                <c:pt idx="918">
                  <c:v>8.4376949871511897E-15</c:v>
                </c:pt>
                <c:pt idx="919">
                  <c:v>8.8817841970012523E-15</c:v>
                </c:pt>
                <c:pt idx="920">
                  <c:v>5.773159728050814E-15</c:v>
                </c:pt>
                <c:pt idx="921">
                  <c:v>4.8849813083506888E-15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9.7699626167013776E-15</c:v>
                </c:pt>
                <c:pt idx="928">
                  <c:v>9.7699626167013776E-15</c:v>
                </c:pt>
                <c:pt idx="929">
                  <c:v>4.8849813083506888E-15</c:v>
                </c:pt>
                <c:pt idx="930">
                  <c:v>6.6613381477509392E-15</c:v>
                </c:pt>
                <c:pt idx="931">
                  <c:v>6.2172489379008766E-15</c:v>
                </c:pt>
                <c:pt idx="932">
                  <c:v>9.7699626167013776E-15</c:v>
                </c:pt>
                <c:pt idx="933">
                  <c:v>7.1054273576010019E-15</c:v>
                </c:pt>
                <c:pt idx="934">
                  <c:v>4.4408920985006262E-15</c:v>
                </c:pt>
                <c:pt idx="935">
                  <c:v>7.5495165674510645E-15</c:v>
                </c:pt>
                <c:pt idx="936">
                  <c:v>0</c:v>
                </c:pt>
                <c:pt idx="937">
                  <c:v>7.1054273576010019E-15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8.8817841970012523E-15</c:v>
                </c:pt>
                <c:pt idx="942">
                  <c:v>8.4376949871511897E-15</c:v>
                </c:pt>
                <c:pt idx="943">
                  <c:v>4.8849813083506888E-15</c:v>
                </c:pt>
                <c:pt idx="944">
                  <c:v>9.3258734068513149E-15</c:v>
                </c:pt>
                <c:pt idx="945">
                  <c:v>7.1054273576010019E-15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8.8817841970012523E-15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3.9968028886505635E-15</c:v>
                </c:pt>
                <c:pt idx="954">
                  <c:v>0</c:v>
                </c:pt>
                <c:pt idx="955">
                  <c:v>8.4376949871511897E-15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6.6613381477509392E-15</c:v>
                </c:pt>
                <c:pt idx="960">
                  <c:v>0</c:v>
                </c:pt>
                <c:pt idx="961">
                  <c:v>8.8817841970012523E-15</c:v>
                </c:pt>
                <c:pt idx="962">
                  <c:v>9.3258734068513149E-15</c:v>
                </c:pt>
                <c:pt idx="963">
                  <c:v>4.4408920985006262E-15</c:v>
                </c:pt>
                <c:pt idx="964">
                  <c:v>8.4376949871511897E-15</c:v>
                </c:pt>
                <c:pt idx="965">
                  <c:v>7.9936057773011271E-15</c:v>
                </c:pt>
                <c:pt idx="966">
                  <c:v>6.6613381477509392E-15</c:v>
                </c:pt>
                <c:pt idx="967">
                  <c:v>0</c:v>
                </c:pt>
                <c:pt idx="968">
                  <c:v>6.6613381477509392E-15</c:v>
                </c:pt>
                <c:pt idx="969">
                  <c:v>3.9968028886505635E-15</c:v>
                </c:pt>
                <c:pt idx="970">
                  <c:v>4.4408920985006262E-15</c:v>
                </c:pt>
                <c:pt idx="971">
                  <c:v>0</c:v>
                </c:pt>
                <c:pt idx="972">
                  <c:v>3.9968028886505635E-15</c:v>
                </c:pt>
                <c:pt idx="973">
                  <c:v>7.9936057773011271E-15</c:v>
                </c:pt>
                <c:pt idx="974">
                  <c:v>5.3290705182007514E-15</c:v>
                </c:pt>
                <c:pt idx="975">
                  <c:v>6.6613381477509392E-15</c:v>
                </c:pt>
                <c:pt idx="976">
                  <c:v>4.4408920985006262E-15</c:v>
                </c:pt>
                <c:pt idx="977">
                  <c:v>0</c:v>
                </c:pt>
                <c:pt idx="978">
                  <c:v>0</c:v>
                </c:pt>
                <c:pt idx="979">
                  <c:v>7.1054273576010019E-15</c:v>
                </c:pt>
                <c:pt idx="980">
                  <c:v>3.9968028886505635E-15</c:v>
                </c:pt>
                <c:pt idx="981">
                  <c:v>4.4408920985006262E-15</c:v>
                </c:pt>
                <c:pt idx="982">
                  <c:v>0</c:v>
                </c:pt>
                <c:pt idx="983">
                  <c:v>0</c:v>
                </c:pt>
                <c:pt idx="984">
                  <c:v>4.8849813083506888E-15</c:v>
                </c:pt>
                <c:pt idx="985">
                  <c:v>3.5527136788005009E-15</c:v>
                </c:pt>
                <c:pt idx="986">
                  <c:v>5.3290705182007514E-15</c:v>
                </c:pt>
                <c:pt idx="987">
                  <c:v>3.5527136788005009E-15</c:v>
                </c:pt>
                <c:pt idx="988">
                  <c:v>0</c:v>
                </c:pt>
                <c:pt idx="989">
                  <c:v>7.5495165674510645E-15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3.5527136788005009E-15</c:v>
                </c:pt>
                <c:pt idx="995">
                  <c:v>6.2172489379008766E-15</c:v>
                </c:pt>
                <c:pt idx="996">
                  <c:v>5.3290705182007514E-15</c:v>
                </c:pt>
                <c:pt idx="997">
                  <c:v>7.9936057773011271E-15</c:v>
                </c:pt>
                <c:pt idx="998">
                  <c:v>8.8817841970012523E-15</c:v>
                </c:pt>
                <c:pt idx="999">
                  <c:v>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6C-416D-BA30-1FA3181302E5}"/>
            </c:ext>
          </c:extLst>
        </c:ser>
        <c:ser>
          <c:idx val="3"/>
          <c:order val="1"/>
          <c:tx>
            <c:v>Rel Err</c:v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CompEllInt!$B$5:$B$1004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</c:numCache>
            </c:numRef>
          </c:xVal>
          <c:yVal>
            <c:numRef>
              <c:f>CompEllInt!$F$5:$F$1004</c:f>
              <c:numCache>
                <c:formatCode>General</c:formatCode>
                <c:ptCount val="1000"/>
                <c:pt idx="0">
                  <c:v>4.2188474935755949E-15</c:v>
                </c:pt>
                <c:pt idx="1">
                  <c:v>5.773159728050814E-15</c:v>
                </c:pt>
                <c:pt idx="2">
                  <c:v>4.8849813083506888E-15</c:v>
                </c:pt>
                <c:pt idx="3">
                  <c:v>2.886579864025407E-15</c:v>
                </c:pt>
                <c:pt idx="4">
                  <c:v>1.9984014443252818E-15</c:v>
                </c:pt>
                <c:pt idx="5">
                  <c:v>6.4392935428259079E-15</c:v>
                </c:pt>
                <c:pt idx="6">
                  <c:v>1.7763568394002505E-15</c:v>
                </c:pt>
                <c:pt idx="7">
                  <c:v>1.7763568394002505E-15</c:v>
                </c:pt>
                <c:pt idx="8">
                  <c:v>2.4424906541753444E-15</c:v>
                </c:pt>
                <c:pt idx="9">
                  <c:v>3.9968028886505635E-15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3.7747582837255322E-15</c:v>
                </c:pt>
                <c:pt idx="14">
                  <c:v>5.773159728050814E-15</c:v>
                </c:pt>
                <c:pt idx="15">
                  <c:v>3.9968028886505635E-15</c:v>
                </c:pt>
                <c:pt idx="16">
                  <c:v>2.886579864025407E-15</c:v>
                </c:pt>
                <c:pt idx="17">
                  <c:v>3.1086244689504383E-15</c:v>
                </c:pt>
                <c:pt idx="18">
                  <c:v>2.4424906541753444E-15</c:v>
                </c:pt>
                <c:pt idx="19">
                  <c:v>3.7747582837255322E-15</c:v>
                </c:pt>
                <c:pt idx="20">
                  <c:v>2.4424906541753444E-15</c:v>
                </c:pt>
                <c:pt idx="21">
                  <c:v>2.2204460492503131E-15</c:v>
                </c:pt>
                <c:pt idx="22">
                  <c:v>1.7763568394002505E-15</c:v>
                </c:pt>
                <c:pt idx="23">
                  <c:v>3.9968028886505635E-15</c:v>
                </c:pt>
                <c:pt idx="24">
                  <c:v>3.9968028886505635E-15</c:v>
                </c:pt>
                <c:pt idx="25">
                  <c:v>3.9968028886505635E-15</c:v>
                </c:pt>
                <c:pt idx="26">
                  <c:v>1.7763568394002505E-15</c:v>
                </c:pt>
                <c:pt idx="27">
                  <c:v>5.5511151231257827E-15</c:v>
                </c:pt>
                <c:pt idx="28">
                  <c:v>3.3306690738754696E-15</c:v>
                </c:pt>
                <c:pt idx="29">
                  <c:v>3.7747582837255322E-15</c:v>
                </c:pt>
                <c:pt idx="30">
                  <c:v>5.5511151231257827E-15</c:v>
                </c:pt>
                <c:pt idx="31">
                  <c:v>0</c:v>
                </c:pt>
                <c:pt idx="32">
                  <c:v>5.3290705182007514E-15</c:v>
                </c:pt>
                <c:pt idx="33">
                  <c:v>2.886579864025407E-15</c:v>
                </c:pt>
                <c:pt idx="34">
                  <c:v>0</c:v>
                </c:pt>
                <c:pt idx="35">
                  <c:v>4.4408920985006262E-15</c:v>
                </c:pt>
                <c:pt idx="36">
                  <c:v>2.2204460492503131E-15</c:v>
                </c:pt>
                <c:pt idx="37">
                  <c:v>3.7747582837255322E-15</c:v>
                </c:pt>
                <c:pt idx="38">
                  <c:v>3.7747582837255322E-15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6.2172489379008766E-15</c:v>
                </c:pt>
                <c:pt idx="43">
                  <c:v>3.1086244689504383E-15</c:v>
                </c:pt>
                <c:pt idx="44">
                  <c:v>4.6629367034256575E-15</c:v>
                </c:pt>
                <c:pt idx="45">
                  <c:v>0</c:v>
                </c:pt>
                <c:pt idx="46">
                  <c:v>0</c:v>
                </c:pt>
                <c:pt idx="47">
                  <c:v>3.7747582837255322E-15</c:v>
                </c:pt>
                <c:pt idx="48">
                  <c:v>0</c:v>
                </c:pt>
                <c:pt idx="49">
                  <c:v>3.7747582837255322E-15</c:v>
                </c:pt>
                <c:pt idx="50">
                  <c:v>2.886579864025407E-15</c:v>
                </c:pt>
                <c:pt idx="51">
                  <c:v>0</c:v>
                </c:pt>
                <c:pt idx="52">
                  <c:v>3.7747582837255322E-15</c:v>
                </c:pt>
                <c:pt idx="53">
                  <c:v>5.773159728050814E-15</c:v>
                </c:pt>
                <c:pt idx="54">
                  <c:v>4.8849813083506888E-15</c:v>
                </c:pt>
                <c:pt idx="55">
                  <c:v>3.3306690738754696E-15</c:v>
                </c:pt>
                <c:pt idx="56">
                  <c:v>5.9952043329758453E-15</c:v>
                </c:pt>
                <c:pt idx="57">
                  <c:v>6.2172489379008766E-15</c:v>
                </c:pt>
                <c:pt idx="58">
                  <c:v>6.4392935428259079E-15</c:v>
                </c:pt>
                <c:pt idx="59">
                  <c:v>5.3290705182007514E-15</c:v>
                </c:pt>
                <c:pt idx="60">
                  <c:v>0</c:v>
                </c:pt>
                <c:pt idx="61">
                  <c:v>3.5527136788005009E-15</c:v>
                </c:pt>
                <c:pt idx="62">
                  <c:v>2.886579864025407E-15</c:v>
                </c:pt>
                <c:pt idx="63">
                  <c:v>2.886579864025407E-15</c:v>
                </c:pt>
                <c:pt idx="64">
                  <c:v>5.773159728050814E-15</c:v>
                </c:pt>
                <c:pt idx="65">
                  <c:v>2.4424906541753444E-15</c:v>
                </c:pt>
                <c:pt idx="66">
                  <c:v>4.8849813083506888E-15</c:v>
                </c:pt>
                <c:pt idx="67">
                  <c:v>2.886579864025407E-15</c:v>
                </c:pt>
                <c:pt idx="68">
                  <c:v>4.8849813083506888E-15</c:v>
                </c:pt>
                <c:pt idx="69">
                  <c:v>0</c:v>
                </c:pt>
                <c:pt idx="70">
                  <c:v>0</c:v>
                </c:pt>
                <c:pt idx="71">
                  <c:v>1.7763568394002505E-15</c:v>
                </c:pt>
                <c:pt idx="72">
                  <c:v>4.8849813083506888E-15</c:v>
                </c:pt>
                <c:pt idx="73">
                  <c:v>2.2204460492503131E-15</c:v>
                </c:pt>
                <c:pt idx="74">
                  <c:v>5.5511151231257827E-15</c:v>
                </c:pt>
                <c:pt idx="75">
                  <c:v>3.3306690738754696E-15</c:v>
                </c:pt>
                <c:pt idx="76">
                  <c:v>2.886579864025407E-15</c:v>
                </c:pt>
                <c:pt idx="77">
                  <c:v>3.3306690738754696E-15</c:v>
                </c:pt>
                <c:pt idx="78">
                  <c:v>2.886579864025407E-15</c:v>
                </c:pt>
                <c:pt idx="79">
                  <c:v>3.5527136788005009E-15</c:v>
                </c:pt>
                <c:pt idx="80">
                  <c:v>2.886579864025407E-15</c:v>
                </c:pt>
                <c:pt idx="81">
                  <c:v>2.2204460492503131E-15</c:v>
                </c:pt>
                <c:pt idx="82">
                  <c:v>3.9968028886505635E-15</c:v>
                </c:pt>
                <c:pt idx="83">
                  <c:v>0</c:v>
                </c:pt>
                <c:pt idx="84">
                  <c:v>2.6645352591003757E-15</c:v>
                </c:pt>
                <c:pt idx="85">
                  <c:v>4.8849813083506888E-15</c:v>
                </c:pt>
                <c:pt idx="86">
                  <c:v>0</c:v>
                </c:pt>
                <c:pt idx="87">
                  <c:v>6.2172489379008766E-15</c:v>
                </c:pt>
                <c:pt idx="88">
                  <c:v>1.9984014443252818E-15</c:v>
                </c:pt>
                <c:pt idx="89">
                  <c:v>4.2188474935755949E-15</c:v>
                </c:pt>
                <c:pt idx="90">
                  <c:v>3.3306690738754696E-15</c:v>
                </c:pt>
                <c:pt idx="91">
                  <c:v>3.7747582837255322E-15</c:v>
                </c:pt>
                <c:pt idx="92">
                  <c:v>4.4408920985006262E-15</c:v>
                </c:pt>
                <c:pt idx="93">
                  <c:v>5.9952043329758453E-15</c:v>
                </c:pt>
                <c:pt idx="94">
                  <c:v>4.8849813083506888E-15</c:v>
                </c:pt>
                <c:pt idx="95">
                  <c:v>0</c:v>
                </c:pt>
                <c:pt idx="96">
                  <c:v>0</c:v>
                </c:pt>
                <c:pt idx="97">
                  <c:v>1.7763568394002505E-15</c:v>
                </c:pt>
                <c:pt idx="98">
                  <c:v>5.3290705182007514E-15</c:v>
                </c:pt>
                <c:pt idx="99">
                  <c:v>4.8849813083506888E-15</c:v>
                </c:pt>
                <c:pt idx="100">
                  <c:v>3.7747582837255322E-15</c:v>
                </c:pt>
                <c:pt idx="101">
                  <c:v>2.2204460492503131E-15</c:v>
                </c:pt>
                <c:pt idx="102">
                  <c:v>0</c:v>
                </c:pt>
                <c:pt idx="103">
                  <c:v>0</c:v>
                </c:pt>
                <c:pt idx="104">
                  <c:v>5.9952043329758453E-15</c:v>
                </c:pt>
                <c:pt idx="105">
                  <c:v>0</c:v>
                </c:pt>
                <c:pt idx="106">
                  <c:v>3.9968028886505635E-15</c:v>
                </c:pt>
                <c:pt idx="107">
                  <c:v>5.9952043329758453E-15</c:v>
                </c:pt>
                <c:pt idx="108">
                  <c:v>0</c:v>
                </c:pt>
                <c:pt idx="109">
                  <c:v>4.8849813083506888E-15</c:v>
                </c:pt>
                <c:pt idx="110">
                  <c:v>6.4392935428259079E-15</c:v>
                </c:pt>
                <c:pt idx="111">
                  <c:v>0</c:v>
                </c:pt>
                <c:pt idx="112">
                  <c:v>1.7763568394002505E-15</c:v>
                </c:pt>
                <c:pt idx="113">
                  <c:v>5.1070259132757201E-15</c:v>
                </c:pt>
                <c:pt idx="114">
                  <c:v>4.4408920985006262E-15</c:v>
                </c:pt>
                <c:pt idx="115">
                  <c:v>5.9952043329758453E-15</c:v>
                </c:pt>
                <c:pt idx="116">
                  <c:v>5.773159728050814E-15</c:v>
                </c:pt>
                <c:pt idx="117">
                  <c:v>3.7747582837255322E-15</c:v>
                </c:pt>
                <c:pt idx="118">
                  <c:v>1.9984014443252818E-15</c:v>
                </c:pt>
                <c:pt idx="119">
                  <c:v>4.8849813083506888E-15</c:v>
                </c:pt>
                <c:pt idx="120">
                  <c:v>5.1070259132757201E-15</c:v>
                </c:pt>
                <c:pt idx="121">
                  <c:v>3.9968028886505635E-15</c:v>
                </c:pt>
                <c:pt idx="122">
                  <c:v>2.4424906541753444E-15</c:v>
                </c:pt>
                <c:pt idx="123">
                  <c:v>3.7747582837255322E-15</c:v>
                </c:pt>
                <c:pt idx="124">
                  <c:v>3.9968028886505635E-15</c:v>
                </c:pt>
                <c:pt idx="125">
                  <c:v>1.9984014443252818E-15</c:v>
                </c:pt>
                <c:pt idx="126">
                  <c:v>1.7763568394002505E-15</c:v>
                </c:pt>
                <c:pt idx="127">
                  <c:v>4.4408920985006262E-15</c:v>
                </c:pt>
                <c:pt idx="128">
                  <c:v>3.5527136788005009E-15</c:v>
                </c:pt>
                <c:pt idx="129">
                  <c:v>4.4408920985006262E-15</c:v>
                </c:pt>
                <c:pt idx="130">
                  <c:v>4.8849813083506888E-15</c:v>
                </c:pt>
                <c:pt idx="131">
                  <c:v>2.4424906541753444E-15</c:v>
                </c:pt>
                <c:pt idx="132">
                  <c:v>2.6645352591003757E-15</c:v>
                </c:pt>
                <c:pt idx="133">
                  <c:v>4.4408920985006262E-15</c:v>
                </c:pt>
                <c:pt idx="134">
                  <c:v>4.8849813083506888E-15</c:v>
                </c:pt>
                <c:pt idx="135">
                  <c:v>2.2204460492503131E-15</c:v>
                </c:pt>
                <c:pt idx="136">
                  <c:v>0</c:v>
                </c:pt>
                <c:pt idx="137">
                  <c:v>3.5527136788005009E-15</c:v>
                </c:pt>
                <c:pt idx="138">
                  <c:v>1.7763568394002505E-15</c:v>
                </c:pt>
                <c:pt idx="139">
                  <c:v>0</c:v>
                </c:pt>
                <c:pt idx="140">
                  <c:v>4.2188474935755949E-15</c:v>
                </c:pt>
                <c:pt idx="141">
                  <c:v>0</c:v>
                </c:pt>
                <c:pt idx="142">
                  <c:v>5.773159728050814E-15</c:v>
                </c:pt>
                <c:pt idx="143">
                  <c:v>4.8849813083506888E-15</c:v>
                </c:pt>
                <c:pt idx="144">
                  <c:v>0</c:v>
                </c:pt>
                <c:pt idx="145">
                  <c:v>3.5527136788005009E-15</c:v>
                </c:pt>
                <c:pt idx="146">
                  <c:v>4.8849813083506888E-15</c:v>
                </c:pt>
                <c:pt idx="147">
                  <c:v>0</c:v>
                </c:pt>
                <c:pt idx="148">
                  <c:v>1.9984014443252818E-15</c:v>
                </c:pt>
                <c:pt idx="149">
                  <c:v>0</c:v>
                </c:pt>
                <c:pt idx="150">
                  <c:v>4.4408920985006262E-15</c:v>
                </c:pt>
                <c:pt idx="151">
                  <c:v>5.3290705182007514E-15</c:v>
                </c:pt>
                <c:pt idx="152">
                  <c:v>3.5527136788005009E-15</c:v>
                </c:pt>
                <c:pt idx="153">
                  <c:v>3.9968028886505635E-15</c:v>
                </c:pt>
                <c:pt idx="154">
                  <c:v>5.5511151231257827E-15</c:v>
                </c:pt>
                <c:pt idx="155">
                  <c:v>5.3290705182007514E-15</c:v>
                </c:pt>
                <c:pt idx="156">
                  <c:v>0</c:v>
                </c:pt>
                <c:pt idx="157">
                  <c:v>0</c:v>
                </c:pt>
                <c:pt idx="158">
                  <c:v>5.5511151231257827E-15</c:v>
                </c:pt>
                <c:pt idx="159">
                  <c:v>0</c:v>
                </c:pt>
                <c:pt idx="160">
                  <c:v>0</c:v>
                </c:pt>
                <c:pt idx="161">
                  <c:v>4.6629367034256575E-15</c:v>
                </c:pt>
                <c:pt idx="162">
                  <c:v>3.9968028886505635E-15</c:v>
                </c:pt>
                <c:pt idx="163">
                  <c:v>0</c:v>
                </c:pt>
                <c:pt idx="164">
                  <c:v>3.3306690738754696E-15</c:v>
                </c:pt>
                <c:pt idx="165">
                  <c:v>0</c:v>
                </c:pt>
                <c:pt idx="166">
                  <c:v>4.2188474935755949E-15</c:v>
                </c:pt>
                <c:pt idx="167">
                  <c:v>5.9952043329758453E-15</c:v>
                </c:pt>
                <c:pt idx="168">
                  <c:v>0</c:v>
                </c:pt>
                <c:pt idx="169">
                  <c:v>4.4408920985006262E-15</c:v>
                </c:pt>
                <c:pt idx="170">
                  <c:v>2.886579864025407E-15</c:v>
                </c:pt>
                <c:pt idx="171">
                  <c:v>0</c:v>
                </c:pt>
                <c:pt idx="172">
                  <c:v>5.1070259132757201E-15</c:v>
                </c:pt>
                <c:pt idx="173">
                  <c:v>3.5527136788005009E-15</c:v>
                </c:pt>
                <c:pt idx="174">
                  <c:v>2.2204460492503131E-15</c:v>
                </c:pt>
                <c:pt idx="175">
                  <c:v>5.1070259132757201E-15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2.4424906541753444E-15</c:v>
                </c:pt>
                <c:pt idx="182">
                  <c:v>0</c:v>
                </c:pt>
                <c:pt idx="183">
                  <c:v>5.1070259132757201E-15</c:v>
                </c:pt>
                <c:pt idx="184">
                  <c:v>3.9968028886505635E-15</c:v>
                </c:pt>
                <c:pt idx="185">
                  <c:v>4.6629367034256575E-15</c:v>
                </c:pt>
                <c:pt idx="186">
                  <c:v>0</c:v>
                </c:pt>
                <c:pt idx="187">
                  <c:v>0</c:v>
                </c:pt>
                <c:pt idx="188">
                  <c:v>4.6629367034256575E-15</c:v>
                </c:pt>
                <c:pt idx="189">
                  <c:v>5.9952043329758453E-15</c:v>
                </c:pt>
                <c:pt idx="190">
                  <c:v>4.6629367034256575E-15</c:v>
                </c:pt>
                <c:pt idx="191">
                  <c:v>0</c:v>
                </c:pt>
                <c:pt idx="192">
                  <c:v>4.4408920985006262E-15</c:v>
                </c:pt>
                <c:pt idx="193">
                  <c:v>2.886579864025407E-15</c:v>
                </c:pt>
                <c:pt idx="194">
                  <c:v>3.5527136788005009E-15</c:v>
                </c:pt>
                <c:pt idx="195">
                  <c:v>0</c:v>
                </c:pt>
                <c:pt idx="196">
                  <c:v>3.5527136788005009E-15</c:v>
                </c:pt>
                <c:pt idx="197">
                  <c:v>2.4424906541753444E-15</c:v>
                </c:pt>
                <c:pt idx="198">
                  <c:v>0</c:v>
                </c:pt>
                <c:pt idx="199">
                  <c:v>3.5527136788005009E-15</c:v>
                </c:pt>
                <c:pt idx="200">
                  <c:v>3.9968028886505635E-15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4.2188474935755949E-15</c:v>
                </c:pt>
                <c:pt idx="205">
                  <c:v>3.3306690738754696E-15</c:v>
                </c:pt>
                <c:pt idx="206">
                  <c:v>6.2172489379008766E-15</c:v>
                </c:pt>
                <c:pt idx="207">
                  <c:v>2.2204460492503131E-15</c:v>
                </c:pt>
                <c:pt idx="208">
                  <c:v>6.2172489379008766E-15</c:v>
                </c:pt>
                <c:pt idx="209">
                  <c:v>2.2204460492503131E-15</c:v>
                </c:pt>
                <c:pt idx="210">
                  <c:v>0</c:v>
                </c:pt>
                <c:pt idx="211">
                  <c:v>3.9968028886505635E-15</c:v>
                </c:pt>
                <c:pt idx="212">
                  <c:v>1.7763568394002505E-15</c:v>
                </c:pt>
                <c:pt idx="213">
                  <c:v>3.5527136788005009E-15</c:v>
                </c:pt>
                <c:pt idx="214">
                  <c:v>5.3290705182007514E-15</c:v>
                </c:pt>
                <c:pt idx="215">
                  <c:v>4.6629367034256575E-15</c:v>
                </c:pt>
                <c:pt idx="216">
                  <c:v>2.4424906541753444E-15</c:v>
                </c:pt>
                <c:pt idx="217">
                  <c:v>3.9968028886505635E-15</c:v>
                </c:pt>
                <c:pt idx="218">
                  <c:v>2.4424906541753444E-15</c:v>
                </c:pt>
                <c:pt idx="219">
                  <c:v>0</c:v>
                </c:pt>
                <c:pt idx="220">
                  <c:v>0</c:v>
                </c:pt>
                <c:pt idx="221">
                  <c:v>5.773159728050814E-15</c:v>
                </c:pt>
                <c:pt idx="222">
                  <c:v>3.5527136788005009E-15</c:v>
                </c:pt>
                <c:pt idx="223">
                  <c:v>1.9984014443252818E-15</c:v>
                </c:pt>
                <c:pt idx="224">
                  <c:v>0</c:v>
                </c:pt>
                <c:pt idx="225">
                  <c:v>5.1070259132757201E-15</c:v>
                </c:pt>
                <c:pt idx="226">
                  <c:v>5.773159728050814E-15</c:v>
                </c:pt>
                <c:pt idx="227">
                  <c:v>1.9984014443252818E-15</c:v>
                </c:pt>
                <c:pt idx="228">
                  <c:v>2.886579864025407E-15</c:v>
                </c:pt>
                <c:pt idx="229">
                  <c:v>0</c:v>
                </c:pt>
                <c:pt idx="230">
                  <c:v>3.9968028886505635E-15</c:v>
                </c:pt>
                <c:pt idx="231">
                  <c:v>2.4424906541753444E-15</c:v>
                </c:pt>
                <c:pt idx="232">
                  <c:v>3.1086244689504383E-15</c:v>
                </c:pt>
                <c:pt idx="233">
                  <c:v>0</c:v>
                </c:pt>
                <c:pt idx="234">
                  <c:v>3.3306690738754696E-15</c:v>
                </c:pt>
                <c:pt idx="235">
                  <c:v>3.1086244689504383E-15</c:v>
                </c:pt>
                <c:pt idx="236">
                  <c:v>0</c:v>
                </c:pt>
                <c:pt idx="237">
                  <c:v>2.886579864025407E-15</c:v>
                </c:pt>
                <c:pt idx="238">
                  <c:v>0</c:v>
                </c:pt>
                <c:pt idx="239">
                  <c:v>5.773159728050814E-15</c:v>
                </c:pt>
                <c:pt idx="240">
                  <c:v>0</c:v>
                </c:pt>
                <c:pt idx="241">
                  <c:v>0</c:v>
                </c:pt>
                <c:pt idx="242">
                  <c:v>2.6645352591003757E-15</c:v>
                </c:pt>
                <c:pt idx="243">
                  <c:v>3.3306690738754696E-15</c:v>
                </c:pt>
                <c:pt idx="244">
                  <c:v>3.9968028886505635E-15</c:v>
                </c:pt>
                <c:pt idx="245">
                  <c:v>0</c:v>
                </c:pt>
                <c:pt idx="246">
                  <c:v>5.9952043329758453E-15</c:v>
                </c:pt>
                <c:pt idx="247">
                  <c:v>0</c:v>
                </c:pt>
                <c:pt idx="248">
                  <c:v>3.7747582837255322E-15</c:v>
                </c:pt>
                <c:pt idx="249">
                  <c:v>0</c:v>
                </c:pt>
                <c:pt idx="250">
                  <c:v>1.9984014443252818E-15</c:v>
                </c:pt>
                <c:pt idx="251">
                  <c:v>4.2188474935755949E-15</c:v>
                </c:pt>
                <c:pt idx="252">
                  <c:v>0</c:v>
                </c:pt>
                <c:pt idx="253">
                  <c:v>0</c:v>
                </c:pt>
                <c:pt idx="254">
                  <c:v>4.6629367034256575E-15</c:v>
                </c:pt>
                <c:pt idx="255">
                  <c:v>4.8849813083506888E-15</c:v>
                </c:pt>
                <c:pt idx="256">
                  <c:v>5.3290705182007514E-15</c:v>
                </c:pt>
                <c:pt idx="257">
                  <c:v>0</c:v>
                </c:pt>
                <c:pt idx="258">
                  <c:v>1.7763568394002505E-15</c:v>
                </c:pt>
                <c:pt idx="259">
                  <c:v>3.5527136788005009E-15</c:v>
                </c:pt>
                <c:pt idx="260">
                  <c:v>4.6629367034256575E-15</c:v>
                </c:pt>
                <c:pt idx="261">
                  <c:v>3.9968028886505635E-15</c:v>
                </c:pt>
                <c:pt idx="262">
                  <c:v>4.6629367034256575E-15</c:v>
                </c:pt>
                <c:pt idx="263">
                  <c:v>5.1070259132757201E-15</c:v>
                </c:pt>
                <c:pt idx="264">
                  <c:v>5.3290705182007514E-15</c:v>
                </c:pt>
                <c:pt idx="265">
                  <c:v>3.9968028886505635E-15</c:v>
                </c:pt>
                <c:pt idx="266">
                  <c:v>3.9968028886505635E-15</c:v>
                </c:pt>
                <c:pt idx="267">
                  <c:v>4.6629367034256575E-15</c:v>
                </c:pt>
                <c:pt idx="268">
                  <c:v>1.9984014443252818E-15</c:v>
                </c:pt>
                <c:pt idx="269">
                  <c:v>5.773159728050814E-15</c:v>
                </c:pt>
                <c:pt idx="270">
                  <c:v>1.9984014443252818E-15</c:v>
                </c:pt>
                <c:pt idx="271">
                  <c:v>3.5527136788005009E-15</c:v>
                </c:pt>
                <c:pt idx="272">
                  <c:v>5.5511151231257827E-15</c:v>
                </c:pt>
                <c:pt idx="273">
                  <c:v>4.8849813083506888E-15</c:v>
                </c:pt>
                <c:pt idx="274">
                  <c:v>0</c:v>
                </c:pt>
                <c:pt idx="275">
                  <c:v>3.3306690738754696E-15</c:v>
                </c:pt>
                <c:pt idx="276">
                  <c:v>5.9952043329758453E-15</c:v>
                </c:pt>
                <c:pt idx="277">
                  <c:v>3.7747582837255322E-15</c:v>
                </c:pt>
                <c:pt idx="278">
                  <c:v>4.2188474935755949E-15</c:v>
                </c:pt>
                <c:pt idx="279">
                  <c:v>5.9952043329758453E-15</c:v>
                </c:pt>
                <c:pt idx="280">
                  <c:v>0</c:v>
                </c:pt>
                <c:pt idx="281">
                  <c:v>4.6629367034256575E-15</c:v>
                </c:pt>
                <c:pt idx="282">
                  <c:v>2.886579864025407E-15</c:v>
                </c:pt>
                <c:pt idx="283">
                  <c:v>4.4408920985006262E-15</c:v>
                </c:pt>
                <c:pt idx="284">
                  <c:v>3.9968028886505635E-15</c:v>
                </c:pt>
                <c:pt idx="285">
                  <c:v>3.1086244689504383E-15</c:v>
                </c:pt>
                <c:pt idx="286">
                  <c:v>0</c:v>
                </c:pt>
                <c:pt idx="287">
                  <c:v>1.9984014443252818E-15</c:v>
                </c:pt>
                <c:pt idx="288">
                  <c:v>0</c:v>
                </c:pt>
                <c:pt idx="289">
                  <c:v>0</c:v>
                </c:pt>
                <c:pt idx="290">
                  <c:v>3.7747582837255322E-15</c:v>
                </c:pt>
                <c:pt idx="291">
                  <c:v>0</c:v>
                </c:pt>
                <c:pt idx="292">
                  <c:v>3.5527136788005009E-15</c:v>
                </c:pt>
                <c:pt idx="293">
                  <c:v>3.9968028886505635E-15</c:v>
                </c:pt>
                <c:pt idx="294">
                  <c:v>4.8849813083506888E-15</c:v>
                </c:pt>
                <c:pt idx="295">
                  <c:v>2.6645352591003757E-15</c:v>
                </c:pt>
                <c:pt idx="296">
                  <c:v>0</c:v>
                </c:pt>
                <c:pt idx="297">
                  <c:v>5.5511151231257827E-15</c:v>
                </c:pt>
                <c:pt idx="298">
                  <c:v>3.1086244689504383E-15</c:v>
                </c:pt>
                <c:pt idx="299">
                  <c:v>3.3306690738754696E-15</c:v>
                </c:pt>
                <c:pt idx="300">
                  <c:v>1.7763568394002505E-15</c:v>
                </c:pt>
                <c:pt idx="301">
                  <c:v>5.773159728050814E-15</c:v>
                </c:pt>
                <c:pt idx="302">
                  <c:v>0</c:v>
                </c:pt>
                <c:pt idx="303">
                  <c:v>4.8849813083506888E-15</c:v>
                </c:pt>
                <c:pt idx="304">
                  <c:v>2.886579864025407E-15</c:v>
                </c:pt>
                <c:pt idx="305">
                  <c:v>5.9952043329758453E-15</c:v>
                </c:pt>
                <c:pt idx="306">
                  <c:v>0</c:v>
                </c:pt>
                <c:pt idx="307">
                  <c:v>5.5511151231257827E-15</c:v>
                </c:pt>
                <c:pt idx="308">
                  <c:v>6.2172489379008766E-15</c:v>
                </c:pt>
                <c:pt idx="309">
                  <c:v>1.9984014443252818E-15</c:v>
                </c:pt>
                <c:pt idx="310">
                  <c:v>3.5527136788005009E-15</c:v>
                </c:pt>
                <c:pt idx="311">
                  <c:v>4.8849813083506888E-15</c:v>
                </c:pt>
                <c:pt idx="312">
                  <c:v>3.1086244689504383E-15</c:v>
                </c:pt>
                <c:pt idx="313">
                  <c:v>0</c:v>
                </c:pt>
                <c:pt idx="314">
                  <c:v>4.4408920985006262E-15</c:v>
                </c:pt>
                <c:pt idx="315">
                  <c:v>0</c:v>
                </c:pt>
                <c:pt idx="316">
                  <c:v>0</c:v>
                </c:pt>
                <c:pt idx="317">
                  <c:v>3.9968028886505635E-15</c:v>
                </c:pt>
                <c:pt idx="318">
                  <c:v>0</c:v>
                </c:pt>
                <c:pt idx="319">
                  <c:v>3.5527136788005009E-15</c:v>
                </c:pt>
                <c:pt idx="320">
                  <c:v>0</c:v>
                </c:pt>
                <c:pt idx="321">
                  <c:v>5.3290705182007514E-15</c:v>
                </c:pt>
                <c:pt idx="322">
                  <c:v>0</c:v>
                </c:pt>
                <c:pt idx="323">
                  <c:v>3.3306690738754696E-15</c:v>
                </c:pt>
                <c:pt idx="324">
                  <c:v>2.6645352591003757E-15</c:v>
                </c:pt>
                <c:pt idx="325">
                  <c:v>0</c:v>
                </c:pt>
                <c:pt idx="326">
                  <c:v>0</c:v>
                </c:pt>
                <c:pt idx="327">
                  <c:v>1.7763568394002505E-15</c:v>
                </c:pt>
                <c:pt idx="328">
                  <c:v>2.2204460492503131E-15</c:v>
                </c:pt>
                <c:pt idx="329">
                  <c:v>3.7747582837255322E-15</c:v>
                </c:pt>
                <c:pt idx="330">
                  <c:v>0</c:v>
                </c:pt>
                <c:pt idx="331">
                  <c:v>5.3290705182007514E-15</c:v>
                </c:pt>
                <c:pt idx="332">
                  <c:v>3.3306690738754696E-15</c:v>
                </c:pt>
                <c:pt idx="333">
                  <c:v>0</c:v>
                </c:pt>
                <c:pt idx="334">
                  <c:v>0</c:v>
                </c:pt>
                <c:pt idx="335">
                  <c:v>3.5527136788005009E-15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6.2172489379008766E-15</c:v>
                </c:pt>
                <c:pt idx="340">
                  <c:v>2.2204460492503131E-15</c:v>
                </c:pt>
                <c:pt idx="341">
                  <c:v>0</c:v>
                </c:pt>
                <c:pt idx="342">
                  <c:v>0</c:v>
                </c:pt>
                <c:pt idx="343">
                  <c:v>3.1086244689504383E-15</c:v>
                </c:pt>
                <c:pt idx="344">
                  <c:v>0</c:v>
                </c:pt>
                <c:pt idx="345">
                  <c:v>3.1086244689504383E-15</c:v>
                </c:pt>
                <c:pt idx="346">
                  <c:v>3.1086244689504383E-15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3.1086244689504383E-15</c:v>
                </c:pt>
                <c:pt idx="352">
                  <c:v>4.2188474935755949E-15</c:v>
                </c:pt>
                <c:pt idx="353">
                  <c:v>2.6645352591003757E-15</c:v>
                </c:pt>
                <c:pt idx="354">
                  <c:v>2.6645352591003757E-15</c:v>
                </c:pt>
                <c:pt idx="355">
                  <c:v>4.6629367034256575E-15</c:v>
                </c:pt>
                <c:pt idx="356">
                  <c:v>4.8849813083506888E-15</c:v>
                </c:pt>
                <c:pt idx="357">
                  <c:v>5.3290705182007514E-15</c:v>
                </c:pt>
                <c:pt idx="358">
                  <c:v>0</c:v>
                </c:pt>
                <c:pt idx="359">
                  <c:v>2.6645352591003757E-15</c:v>
                </c:pt>
                <c:pt idx="360">
                  <c:v>2.6645352591003757E-15</c:v>
                </c:pt>
                <c:pt idx="361">
                  <c:v>3.9968028886505635E-15</c:v>
                </c:pt>
                <c:pt idx="362">
                  <c:v>3.3306690738754696E-15</c:v>
                </c:pt>
                <c:pt idx="363">
                  <c:v>5.773159728050814E-15</c:v>
                </c:pt>
                <c:pt idx="364">
                  <c:v>0</c:v>
                </c:pt>
                <c:pt idx="365">
                  <c:v>4.6629367034256575E-15</c:v>
                </c:pt>
                <c:pt idx="366">
                  <c:v>3.9968028886505635E-15</c:v>
                </c:pt>
                <c:pt idx="367">
                  <c:v>5.9952043329758453E-15</c:v>
                </c:pt>
                <c:pt idx="368">
                  <c:v>4.4408920985006262E-15</c:v>
                </c:pt>
                <c:pt idx="369">
                  <c:v>3.3306690738754696E-15</c:v>
                </c:pt>
                <c:pt idx="370">
                  <c:v>2.886579864025407E-15</c:v>
                </c:pt>
                <c:pt idx="371">
                  <c:v>0</c:v>
                </c:pt>
                <c:pt idx="372">
                  <c:v>0</c:v>
                </c:pt>
                <c:pt idx="373">
                  <c:v>3.3306690738754696E-15</c:v>
                </c:pt>
                <c:pt idx="374">
                  <c:v>3.3306690738754696E-15</c:v>
                </c:pt>
                <c:pt idx="375">
                  <c:v>4.4408920985006262E-15</c:v>
                </c:pt>
                <c:pt idx="376">
                  <c:v>0</c:v>
                </c:pt>
                <c:pt idx="377">
                  <c:v>2.6645352591003757E-15</c:v>
                </c:pt>
                <c:pt idx="378">
                  <c:v>0</c:v>
                </c:pt>
                <c:pt idx="379">
                  <c:v>4.6629367034256575E-15</c:v>
                </c:pt>
                <c:pt idx="380">
                  <c:v>4.4408920985006262E-15</c:v>
                </c:pt>
                <c:pt idx="381">
                  <c:v>4.4408920985006262E-15</c:v>
                </c:pt>
                <c:pt idx="382">
                  <c:v>2.886579864025407E-15</c:v>
                </c:pt>
                <c:pt idx="383">
                  <c:v>5.773159728050814E-15</c:v>
                </c:pt>
                <c:pt idx="384">
                  <c:v>1.9984014443252818E-15</c:v>
                </c:pt>
                <c:pt idx="385">
                  <c:v>4.6629367034256575E-15</c:v>
                </c:pt>
                <c:pt idx="386">
                  <c:v>2.2204460492503131E-15</c:v>
                </c:pt>
                <c:pt idx="387">
                  <c:v>5.5511151231257827E-15</c:v>
                </c:pt>
                <c:pt idx="388">
                  <c:v>2.6645352591003757E-15</c:v>
                </c:pt>
                <c:pt idx="389">
                  <c:v>6.2172489379008766E-15</c:v>
                </c:pt>
                <c:pt idx="390">
                  <c:v>1.9984014443252818E-15</c:v>
                </c:pt>
                <c:pt idx="391">
                  <c:v>0</c:v>
                </c:pt>
                <c:pt idx="392">
                  <c:v>3.9968028886505635E-15</c:v>
                </c:pt>
                <c:pt idx="393">
                  <c:v>2.6645352591003757E-15</c:v>
                </c:pt>
                <c:pt idx="394">
                  <c:v>0</c:v>
                </c:pt>
                <c:pt idx="395">
                  <c:v>3.7747582837255322E-15</c:v>
                </c:pt>
                <c:pt idx="396">
                  <c:v>4.6629367034256575E-15</c:v>
                </c:pt>
                <c:pt idx="397">
                  <c:v>3.5527136788005009E-15</c:v>
                </c:pt>
                <c:pt idx="398">
                  <c:v>5.1070259132757201E-15</c:v>
                </c:pt>
                <c:pt idx="399">
                  <c:v>3.3306690738754696E-15</c:v>
                </c:pt>
                <c:pt idx="400">
                  <c:v>0</c:v>
                </c:pt>
                <c:pt idx="401">
                  <c:v>2.2204460492503131E-15</c:v>
                </c:pt>
                <c:pt idx="402">
                  <c:v>5.1070259132757201E-15</c:v>
                </c:pt>
                <c:pt idx="403">
                  <c:v>5.3290705182007514E-15</c:v>
                </c:pt>
                <c:pt idx="404">
                  <c:v>3.1086244689504383E-15</c:v>
                </c:pt>
                <c:pt idx="405">
                  <c:v>3.9968028886505635E-15</c:v>
                </c:pt>
                <c:pt idx="406">
                  <c:v>0</c:v>
                </c:pt>
                <c:pt idx="407">
                  <c:v>5.1070259132757201E-15</c:v>
                </c:pt>
                <c:pt idx="408">
                  <c:v>0</c:v>
                </c:pt>
                <c:pt idx="409">
                  <c:v>0</c:v>
                </c:pt>
                <c:pt idx="410">
                  <c:v>3.5527136788005009E-15</c:v>
                </c:pt>
                <c:pt idx="411">
                  <c:v>5.773159728050814E-15</c:v>
                </c:pt>
                <c:pt idx="412">
                  <c:v>4.8849813083506888E-15</c:v>
                </c:pt>
                <c:pt idx="413">
                  <c:v>5.5511151231257827E-15</c:v>
                </c:pt>
                <c:pt idx="414">
                  <c:v>1.7763568394002505E-15</c:v>
                </c:pt>
                <c:pt idx="415">
                  <c:v>0</c:v>
                </c:pt>
                <c:pt idx="416">
                  <c:v>3.3306690738754696E-15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4.2188474935755949E-15</c:v>
                </c:pt>
                <c:pt idx="421">
                  <c:v>0</c:v>
                </c:pt>
                <c:pt idx="422">
                  <c:v>0</c:v>
                </c:pt>
                <c:pt idx="423">
                  <c:v>2.886579864025407E-15</c:v>
                </c:pt>
                <c:pt idx="424">
                  <c:v>4.6629367034256575E-15</c:v>
                </c:pt>
                <c:pt idx="425">
                  <c:v>2.6645352591003757E-15</c:v>
                </c:pt>
                <c:pt idx="426">
                  <c:v>4.2188474935755949E-15</c:v>
                </c:pt>
                <c:pt idx="427">
                  <c:v>0</c:v>
                </c:pt>
                <c:pt idx="428">
                  <c:v>4.4408920985006262E-15</c:v>
                </c:pt>
                <c:pt idx="429">
                  <c:v>0</c:v>
                </c:pt>
                <c:pt idx="430">
                  <c:v>0</c:v>
                </c:pt>
                <c:pt idx="431">
                  <c:v>4.2188474935755949E-15</c:v>
                </c:pt>
                <c:pt idx="432">
                  <c:v>0</c:v>
                </c:pt>
                <c:pt idx="433">
                  <c:v>2.4424906541753444E-15</c:v>
                </c:pt>
                <c:pt idx="434">
                  <c:v>4.6629367034256575E-15</c:v>
                </c:pt>
                <c:pt idx="435">
                  <c:v>4.4408920985006262E-15</c:v>
                </c:pt>
                <c:pt idx="436">
                  <c:v>4.8849813083506888E-15</c:v>
                </c:pt>
                <c:pt idx="437">
                  <c:v>5.1070259132757201E-15</c:v>
                </c:pt>
                <c:pt idx="438">
                  <c:v>1.7763568394002505E-15</c:v>
                </c:pt>
                <c:pt idx="439">
                  <c:v>1.7763568394002505E-15</c:v>
                </c:pt>
                <c:pt idx="440">
                  <c:v>0</c:v>
                </c:pt>
                <c:pt idx="441">
                  <c:v>3.9968028886505635E-15</c:v>
                </c:pt>
                <c:pt idx="442">
                  <c:v>2.2204460492503131E-15</c:v>
                </c:pt>
                <c:pt idx="443">
                  <c:v>5.3290705182007514E-15</c:v>
                </c:pt>
                <c:pt idx="444">
                  <c:v>3.1086244689504383E-15</c:v>
                </c:pt>
                <c:pt idx="445">
                  <c:v>0</c:v>
                </c:pt>
                <c:pt idx="446">
                  <c:v>2.886579864025407E-15</c:v>
                </c:pt>
                <c:pt idx="447">
                  <c:v>2.4424906541753444E-15</c:v>
                </c:pt>
                <c:pt idx="448">
                  <c:v>2.886579864025407E-15</c:v>
                </c:pt>
                <c:pt idx="449">
                  <c:v>4.4408920985006262E-15</c:v>
                </c:pt>
                <c:pt idx="450">
                  <c:v>5.1070259132757201E-15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2.886579864025407E-15</c:v>
                </c:pt>
                <c:pt idx="456">
                  <c:v>5.9952043329758453E-15</c:v>
                </c:pt>
                <c:pt idx="457">
                  <c:v>4.2188474935755949E-15</c:v>
                </c:pt>
                <c:pt idx="458">
                  <c:v>5.773159728050814E-15</c:v>
                </c:pt>
                <c:pt idx="459">
                  <c:v>0</c:v>
                </c:pt>
                <c:pt idx="460">
                  <c:v>2.6645352591003757E-15</c:v>
                </c:pt>
                <c:pt idx="461">
                  <c:v>2.886579864025407E-15</c:v>
                </c:pt>
                <c:pt idx="462">
                  <c:v>0</c:v>
                </c:pt>
                <c:pt idx="463">
                  <c:v>5.1070259132757201E-15</c:v>
                </c:pt>
                <c:pt idx="464">
                  <c:v>1.7763568394002505E-15</c:v>
                </c:pt>
                <c:pt idx="465">
                  <c:v>4.8849813083506888E-15</c:v>
                </c:pt>
                <c:pt idx="466">
                  <c:v>4.8849813083506888E-15</c:v>
                </c:pt>
                <c:pt idx="467">
                  <c:v>4.2188474935755949E-15</c:v>
                </c:pt>
                <c:pt idx="468">
                  <c:v>3.5527136788005009E-15</c:v>
                </c:pt>
                <c:pt idx="469">
                  <c:v>1.9984014443252818E-15</c:v>
                </c:pt>
                <c:pt idx="470">
                  <c:v>5.5511151231257827E-15</c:v>
                </c:pt>
                <c:pt idx="471">
                  <c:v>5.773159728050814E-15</c:v>
                </c:pt>
                <c:pt idx="472">
                  <c:v>2.2204460492503131E-15</c:v>
                </c:pt>
                <c:pt idx="473">
                  <c:v>4.4408920985006262E-15</c:v>
                </c:pt>
                <c:pt idx="474">
                  <c:v>2.2204460492503131E-15</c:v>
                </c:pt>
                <c:pt idx="475">
                  <c:v>0</c:v>
                </c:pt>
                <c:pt idx="476">
                  <c:v>5.3290705182007514E-15</c:v>
                </c:pt>
                <c:pt idx="477">
                  <c:v>0</c:v>
                </c:pt>
                <c:pt idx="478">
                  <c:v>3.1086244689504383E-15</c:v>
                </c:pt>
                <c:pt idx="479">
                  <c:v>3.3306690738754696E-15</c:v>
                </c:pt>
                <c:pt idx="480">
                  <c:v>3.3306690738754696E-15</c:v>
                </c:pt>
                <c:pt idx="481">
                  <c:v>3.7747582837255322E-15</c:v>
                </c:pt>
                <c:pt idx="482">
                  <c:v>0</c:v>
                </c:pt>
                <c:pt idx="483">
                  <c:v>0</c:v>
                </c:pt>
                <c:pt idx="484">
                  <c:v>2.886579864025407E-15</c:v>
                </c:pt>
                <c:pt idx="485">
                  <c:v>0</c:v>
                </c:pt>
                <c:pt idx="486">
                  <c:v>0</c:v>
                </c:pt>
                <c:pt idx="487">
                  <c:v>3.9968028886505635E-15</c:v>
                </c:pt>
                <c:pt idx="488">
                  <c:v>4.2188474935755949E-15</c:v>
                </c:pt>
                <c:pt idx="489">
                  <c:v>0</c:v>
                </c:pt>
                <c:pt idx="490">
                  <c:v>4.4408920985006262E-15</c:v>
                </c:pt>
                <c:pt idx="491">
                  <c:v>3.7747582837255322E-15</c:v>
                </c:pt>
                <c:pt idx="492">
                  <c:v>3.1086244689504383E-15</c:v>
                </c:pt>
                <c:pt idx="493">
                  <c:v>0</c:v>
                </c:pt>
                <c:pt idx="494">
                  <c:v>0</c:v>
                </c:pt>
                <c:pt idx="495">
                  <c:v>1.7763568394002505E-15</c:v>
                </c:pt>
                <c:pt idx="496">
                  <c:v>3.3306690738754696E-15</c:v>
                </c:pt>
                <c:pt idx="497">
                  <c:v>0</c:v>
                </c:pt>
                <c:pt idx="498">
                  <c:v>2.6645352591003757E-15</c:v>
                </c:pt>
                <c:pt idx="499">
                  <c:v>0</c:v>
                </c:pt>
                <c:pt idx="500">
                  <c:v>3.5527136788005009E-15</c:v>
                </c:pt>
                <c:pt idx="501">
                  <c:v>4.2188474935755949E-15</c:v>
                </c:pt>
                <c:pt idx="502">
                  <c:v>0</c:v>
                </c:pt>
                <c:pt idx="503">
                  <c:v>0</c:v>
                </c:pt>
                <c:pt idx="504">
                  <c:v>3.9968028886505635E-15</c:v>
                </c:pt>
                <c:pt idx="505">
                  <c:v>5.773159728050814E-15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3.5527136788005009E-15</c:v>
                </c:pt>
                <c:pt idx="510">
                  <c:v>0</c:v>
                </c:pt>
                <c:pt idx="511">
                  <c:v>2.4424906541753444E-15</c:v>
                </c:pt>
                <c:pt idx="512">
                  <c:v>2.886579864025407E-15</c:v>
                </c:pt>
                <c:pt idx="513">
                  <c:v>3.3306690738754696E-15</c:v>
                </c:pt>
                <c:pt idx="514">
                  <c:v>0</c:v>
                </c:pt>
                <c:pt idx="515">
                  <c:v>4.6629367034256575E-15</c:v>
                </c:pt>
                <c:pt idx="516">
                  <c:v>2.4424906541753444E-15</c:v>
                </c:pt>
                <c:pt idx="517">
                  <c:v>3.7747582837255322E-15</c:v>
                </c:pt>
                <c:pt idx="518">
                  <c:v>4.2188474935755949E-15</c:v>
                </c:pt>
                <c:pt idx="519">
                  <c:v>1.7763568394002505E-15</c:v>
                </c:pt>
                <c:pt idx="520">
                  <c:v>4.8849813083506888E-15</c:v>
                </c:pt>
                <c:pt idx="521">
                  <c:v>3.1086244689504383E-15</c:v>
                </c:pt>
                <c:pt idx="522">
                  <c:v>2.886579864025407E-15</c:v>
                </c:pt>
                <c:pt idx="523">
                  <c:v>4.6629367034256575E-15</c:v>
                </c:pt>
                <c:pt idx="524">
                  <c:v>1.7763568394002505E-15</c:v>
                </c:pt>
                <c:pt idx="525">
                  <c:v>5.3290705182007514E-15</c:v>
                </c:pt>
                <c:pt idx="526">
                  <c:v>2.6645352591003757E-15</c:v>
                </c:pt>
                <c:pt idx="527">
                  <c:v>2.886579864025407E-15</c:v>
                </c:pt>
                <c:pt idx="528">
                  <c:v>3.5527136788005009E-15</c:v>
                </c:pt>
                <c:pt idx="529">
                  <c:v>0</c:v>
                </c:pt>
                <c:pt idx="530">
                  <c:v>1.9984014443252818E-15</c:v>
                </c:pt>
                <c:pt idx="531">
                  <c:v>1.7763568394002505E-15</c:v>
                </c:pt>
                <c:pt idx="532">
                  <c:v>5.5511151231257827E-15</c:v>
                </c:pt>
                <c:pt idx="533">
                  <c:v>2.2204460492503131E-15</c:v>
                </c:pt>
                <c:pt idx="534">
                  <c:v>4.2188474935755949E-15</c:v>
                </c:pt>
                <c:pt idx="535">
                  <c:v>1.9984014443252818E-15</c:v>
                </c:pt>
                <c:pt idx="536">
                  <c:v>1.7763568394002505E-15</c:v>
                </c:pt>
                <c:pt idx="537">
                  <c:v>0</c:v>
                </c:pt>
                <c:pt idx="538">
                  <c:v>0</c:v>
                </c:pt>
                <c:pt idx="539">
                  <c:v>2.6645352591003757E-15</c:v>
                </c:pt>
                <c:pt idx="540">
                  <c:v>5.3290705182007514E-15</c:v>
                </c:pt>
                <c:pt idx="541">
                  <c:v>4.4408920985006262E-15</c:v>
                </c:pt>
                <c:pt idx="542">
                  <c:v>5.5511151231257827E-15</c:v>
                </c:pt>
                <c:pt idx="543">
                  <c:v>2.4424906541753444E-15</c:v>
                </c:pt>
                <c:pt idx="544">
                  <c:v>2.6645352591003757E-15</c:v>
                </c:pt>
                <c:pt idx="545">
                  <c:v>3.3306690738754696E-15</c:v>
                </c:pt>
                <c:pt idx="546">
                  <c:v>3.9968028886505635E-15</c:v>
                </c:pt>
                <c:pt idx="547">
                  <c:v>3.1086244689504383E-15</c:v>
                </c:pt>
                <c:pt idx="548">
                  <c:v>0</c:v>
                </c:pt>
                <c:pt idx="549">
                  <c:v>0</c:v>
                </c:pt>
                <c:pt idx="550">
                  <c:v>2.886579864025407E-15</c:v>
                </c:pt>
                <c:pt idx="551">
                  <c:v>0</c:v>
                </c:pt>
                <c:pt idx="552">
                  <c:v>1.7763568394002505E-15</c:v>
                </c:pt>
                <c:pt idx="553">
                  <c:v>0</c:v>
                </c:pt>
                <c:pt idx="554">
                  <c:v>0</c:v>
                </c:pt>
                <c:pt idx="555">
                  <c:v>1.7763568394002505E-15</c:v>
                </c:pt>
                <c:pt idx="556">
                  <c:v>0</c:v>
                </c:pt>
                <c:pt idx="557">
                  <c:v>4.8849813083506888E-15</c:v>
                </c:pt>
                <c:pt idx="558">
                  <c:v>1.9984014443252818E-15</c:v>
                </c:pt>
                <c:pt idx="559">
                  <c:v>4.6629367034256575E-15</c:v>
                </c:pt>
                <c:pt idx="560">
                  <c:v>3.5527136788005009E-15</c:v>
                </c:pt>
                <c:pt idx="561">
                  <c:v>5.773159728050814E-15</c:v>
                </c:pt>
                <c:pt idx="562">
                  <c:v>1.7763568394002505E-15</c:v>
                </c:pt>
                <c:pt idx="563">
                  <c:v>0</c:v>
                </c:pt>
                <c:pt idx="564">
                  <c:v>2.886579864025407E-15</c:v>
                </c:pt>
                <c:pt idx="565">
                  <c:v>5.3290705182007514E-15</c:v>
                </c:pt>
                <c:pt idx="566">
                  <c:v>2.4424906541753444E-15</c:v>
                </c:pt>
                <c:pt idx="567">
                  <c:v>0</c:v>
                </c:pt>
                <c:pt idx="568">
                  <c:v>2.886579864025407E-15</c:v>
                </c:pt>
                <c:pt idx="569">
                  <c:v>5.5511151231257827E-15</c:v>
                </c:pt>
                <c:pt idx="570">
                  <c:v>3.1086244689504383E-15</c:v>
                </c:pt>
                <c:pt idx="571">
                  <c:v>2.2204460492503131E-15</c:v>
                </c:pt>
                <c:pt idx="572">
                  <c:v>0</c:v>
                </c:pt>
                <c:pt idx="573">
                  <c:v>2.886579864025407E-15</c:v>
                </c:pt>
                <c:pt idx="574">
                  <c:v>0</c:v>
                </c:pt>
                <c:pt idx="575">
                  <c:v>2.886579864025407E-15</c:v>
                </c:pt>
                <c:pt idx="576">
                  <c:v>5.5511151231257827E-15</c:v>
                </c:pt>
                <c:pt idx="577">
                  <c:v>0</c:v>
                </c:pt>
                <c:pt idx="578">
                  <c:v>0</c:v>
                </c:pt>
                <c:pt idx="579">
                  <c:v>3.9968028886505635E-15</c:v>
                </c:pt>
                <c:pt idx="580">
                  <c:v>2.6645352591003757E-15</c:v>
                </c:pt>
                <c:pt idx="581">
                  <c:v>0</c:v>
                </c:pt>
                <c:pt idx="582">
                  <c:v>0</c:v>
                </c:pt>
                <c:pt idx="583">
                  <c:v>3.9968028886505635E-15</c:v>
                </c:pt>
                <c:pt idx="584">
                  <c:v>2.4424906541753444E-15</c:v>
                </c:pt>
                <c:pt idx="585">
                  <c:v>0</c:v>
                </c:pt>
                <c:pt idx="586">
                  <c:v>2.2204460492503131E-15</c:v>
                </c:pt>
                <c:pt idx="587">
                  <c:v>0</c:v>
                </c:pt>
                <c:pt idx="588">
                  <c:v>4.6629367034256575E-15</c:v>
                </c:pt>
                <c:pt idx="589">
                  <c:v>0</c:v>
                </c:pt>
                <c:pt idx="590">
                  <c:v>3.3306690738754696E-15</c:v>
                </c:pt>
                <c:pt idx="591">
                  <c:v>0</c:v>
                </c:pt>
                <c:pt idx="592">
                  <c:v>0</c:v>
                </c:pt>
                <c:pt idx="593">
                  <c:v>2.2204460492503131E-15</c:v>
                </c:pt>
                <c:pt idx="594">
                  <c:v>3.1086244689504383E-15</c:v>
                </c:pt>
                <c:pt idx="595">
                  <c:v>5.1070259132757201E-15</c:v>
                </c:pt>
                <c:pt idx="596">
                  <c:v>4.2188474935755949E-15</c:v>
                </c:pt>
                <c:pt idx="597">
                  <c:v>2.886579864025407E-15</c:v>
                </c:pt>
                <c:pt idx="598">
                  <c:v>0</c:v>
                </c:pt>
                <c:pt idx="599">
                  <c:v>3.7747582837255322E-15</c:v>
                </c:pt>
                <c:pt idx="600">
                  <c:v>0</c:v>
                </c:pt>
                <c:pt idx="601">
                  <c:v>2.4424906541753444E-15</c:v>
                </c:pt>
                <c:pt idx="602">
                  <c:v>0</c:v>
                </c:pt>
                <c:pt idx="603">
                  <c:v>4.6629367034256575E-15</c:v>
                </c:pt>
                <c:pt idx="604">
                  <c:v>4.6629367034256575E-15</c:v>
                </c:pt>
                <c:pt idx="605">
                  <c:v>3.1086244689504383E-15</c:v>
                </c:pt>
                <c:pt idx="606">
                  <c:v>0</c:v>
                </c:pt>
                <c:pt idx="607">
                  <c:v>4.8849813083506888E-15</c:v>
                </c:pt>
                <c:pt idx="608">
                  <c:v>3.3306690738754696E-15</c:v>
                </c:pt>
                <c:pt idx="609">
                  <c:v>5.3290705182007514E-15</c:v>
                </c:pt>
                <c:pt idx="610">
                  <c:v>4.2188474935755949E-15</c:v>
                </c:pt>
                <c:pt idx="611">
                  <c:v>0</c:v>
                </c:pt>
                <c:pt idx="612">
                  <c:v>0</c:v>
                </c:pt>
                <c:pt idx="613">
                  <c:v>2.2204460492503131E-15</c:v>
                </c:pt>
                <c:pt idx="614">
                  <c:v>0</c:v>
                </c:pt>
                <c:pt idx="615">
                  <c:v>3.1086244689504383E-15</c:v>
                </c:pt>
                <c:pt idx="616">
                  <c:v>4.2188474935755949E-15</c:v>
                </c:pt>
                <c:pt idx="617">
                  <c:v>2.886579864025407E-15</c:v>
                </c:pt>
                <c:pt idx="618">
                  <c:v>0</c:v>
                </c:pt>
                <c:pt idx="619">
                  <c:v>0</c:v>
                </c:pt>
                <c:pt idx="620">
                  <c:v>5.1070259132757201E-15</c:v>
                </c:pt>
                <c:pt idx="621">
                  <c:v>1.7763568394002505E-15</c:v>
                </c:pt>
                <c:pt idx="622">
                  <c:v>0</c:v>
                </c:pt>
                <c:pt idx="623">
                  <c:v>5.1070259132757201E-15</c:v>
                </c:pt>
                <c:pt idx="624">
                  <c:v>3.5527136788005009E-15</c:v>
                </c:pt>
                <c:pt idx="625">
                  <c:v>0</c:v>
                </c:pt>
                <c:pt idx="626">
                  <c:v>3.7747582837255322E-15</c:v>
                </c:pt>
                <c:pt idx="627">
                  <c:v>0</c:v>
                </c:pt>
                <c:pt idx="628">
                  <c:v>3.9968028886505635E-15</c:v>
                </c:pt>
                <c:pt idx="629">
                  <c:v>2.2204460492503131E-15</c:v>
                </c:pt>
                <c:pt idx="630">
                  <c:v>0</c:v>
                </c:pt>
                <c:pt idx="631">
                  <c:v>0</c:v>
                </c:pt>
                <c:pt idx="632">
                  <c:v>2.2204460492503131E-15</c:v>
                </c:pt>
                <c:pt idx="633">
                  <c:v>2.6645352591003757E-15</c:v>
                </c:pt>
                <c:pt idx="634">
                  <c:v>0</c:v>
                </c:pt>
                <c:pt idx="635">
                  <c:v>0</c:v>
                </c:pt>
                <c:pt idx="636">
                  <c:v>2.6645352591003757E-15</c:v>
                </c:pt>
                <c:pt idx="637">
                  <c:v>3.7747582837255322E-15</c:v>
                </c:pt>
                <c:pt idx="638">
                  <c:v>2.2204460492503131E-15</c:v>
                </c:pt>
                <c:pt idx="639">
                  <c:v>3.7747582837255322E-15</c:v>
                </c:pt>
                <c:pt idx="640">
                  <c:v>4.4408920985006262E-15</c:v>
                </c:pt>
                <c:pt idx="641">
                  <c:v>0</c:v>
                </c:pt>
                <c:pt idx="642">
                  <c:v>3.1086244689504383E-15</c:v>
                </c:pt>
                <c:pt idx="643">
                  <c:v>2.4424906541753444E-15</c:v>
                </c:pt>
                <c:pt idx="644">
                  <c:v>0</c:v>
                </c:pt>
                <c:pt idx="645">
                  <c:v>3.7747582837255322E-15</c:v>
                </c:pt>
                <c:pt idx="646">
                  <c:v>0</c:v>
                </c:pt>
                <c:pt idx="647">
                  <c:v>3.3306690738754696E-15</c:v>
                </c:pt>
                <c:pt idx="648">
                  <c:v>3.3306690738754696E-15</c:v>
                </c:pt>
                <c:pt idx="649">
                  <c:v>2.6645352591003757E-15</c:v>
                </c:pt>
                <c:pt idx="650">
                  <c:v>4.6629367034256575E-15</c:v>
                </c:pt>
                <c:pt idx="651">
                  <c:v>1.9984014443252818E-15</c:v>
                </c:pt>
                <c:pt idx="652">
                  <c:v>3.9968028886505635E-15</c:v>
                </c:pt>
                <c:pt idx="653">
                  <c:v>3.3306690738754696E-15</c:v>
                </c:pt>
                <c:pt idx="654">
                  <c:v>0</c:v>
                </c:pt>
                <c:pt idx="655">
                  <c:v>4.2188474935755949E-15</c:v>
                </c:pt>
                <c:pt idx="656">
                  <c:v>3.5527136788005009E-15</c:v>
                </c:pt>
                <c:pt idx="657">
                  <c:v>0</c:v>
                </c:pt>
                <c:pt idx="658">
                  <c:v>2.2204460492503131E-15</c:v>
                </c:pt>
                <c:pt idx="659">
                  <c:v>0</c:v>
                </c:pt>
                <c:pt idx="660">
                  <c:v>4.2188474935755949E-15</c:v>
                </c:pt>
                <c:pt idx="661">
                  <c:v>0</c:v>
                </c:pt>
                <c:pt idx="662">
                  <c:v>3.7747582837255322E-15</c:v>
                </c:pt>
                <c:pt idx="663">
                  <c:v>4.2188474935755949E-15</c:v>
                </c:pt>
                <c:pt idx="664">
                  <c:v>5.3290705182007514E-15</c:v>
                </c:pt>
                <c:pt idx="665">
                  <c:v>0</c:v>
                </c:pt>
                <c:pt idx="666">
                  <c:v>4.2188474935755949E-15</c:v>
                </c:pt>
                <c:pt idx="667">
                  <c:v>3.1086244689504383E-15</c:v>
                </c:pt>
                <c:pt idx="668">
                  <c:v>0</c:v>
                </c:pt>
                <c:pt idx="669">
                  <c:v>0</c:v>
                </c:pt>
                <c:pt idx="670">
                  <c:v>3.7747582837255322E-15</c:v>
                </c:pt>
                <c:pt idx="671">
                  <c:v>4.8849813083506888E-15</c:v>
                </c:pt>
                <c:pt idx="672">
                  <c:v>4.4408920985006262E-15</c:v>
                </c:pt>
                <c:pt idx="673">
                  <c:v>1.7763568394002505E-15</c:v>
                </c:pt>
                <c:pt idx="674">
                  <c:v>0</c:v>
                </c:pt>
                <c:pt idx="675">
                  <c:v>0</c:v>
                </c:pt>
                <c:pt idx="676">
                  <c:v>2.4424906541753444E-15</c:v>
                </c:pt>
                <c:pt idx="677">
                  <c:v>0</c:v>
                </c:pt>
                <c:pt idx="678">
                  <c:v>3.7747582837255322E-15</c:v>
                </c:pt>
                <c:pt idx="679">
                  <c:v>4.6629367034256575E-15</c:v>
                </c:pt>
                <c:pt idx="680">
                  <c:v>4.6629367034256575E-15</c:v>
                </c:pt>
                <c:pt idx="681">
                  <c:v>3.1086244689504383E-15</c:v>
                </c:pt>
                <c:pt idx="682">
                  <c:v>0</c:v>
                </c:pt>
                <c:pt idx="683">
                  <c:v>4.2188474935755949E-15</c:v>
                </c:pt>
                <c:pt idx="684">
                  <c:v>3.3306690738754696E-15</c:v>
                </c:pt>
                <c:pt idx="685">
                  <c:v>3.3306690738754696E-15</c:v>
                </c:pt>
                <c:pt idx="686">
                  <c:v>2.886579864025407E-15</c:v>
                </c:pt>
                <c:pt idx="687">
                  <c:v>3.5527136788005009E-15</c:v>
                </c:pt>
                <c:pt idx="688">
                  <c:v>2.886579864025407E-15</c:v>
                </c:pt>
                <c:pt idx="689">
                  <c:v>5.1070259132757201E-15</c:v>
                </c:pt>
                <c:pt idx="690">
                  <c:v>2.886579864025407E-15</c:v>
                </c:pt>
                <c:pt idx="691">
                  <c:v>2.2204460492503131E-15</c:v>
                </c:pt>
                <c:pt idx="692">
                  <c:v>4.4408920985006262E-15</c:v>
                </c:pt>
                <c:pt idx="693">
                  <c:v>2.886579864025407E-15</c:v>
                </c:pt>
                <c:pt idx="694">
                  <c:v>3.5527136788005009E-15</c:v>
                </c:pt>
                <c:pt idx="695">
                  <c:v>4.8849813083506888E-15</c:v>
                </c:pt>
                <c:pt idx="696">
                  <c:v>4.6629367034256575E-15</c:v>
                </c:pt>
                <c:pt idx="697">
                  <c:v>2.6645352591003757E-15</c:v>
                </c:pt>
                <c:pt idx="698">
                  <c:v>4.4408920985006262E-15</c:v>
                </c:pt>
                <c:pt idx="699">
                  <c:v>4.6629367034256575E-15</c:v>
                </c:pt>
                <c:pt idx="700">
                  <c:v>1.9984014443252818E-15</c:v>
                </c:pt>
                <c:pt idx="701">
                  <c:v>0</c:v>
                </c:pt>
                <c:pt idx="702">
                  <c:v>3.7747582837255322E-15</c:v>
                </c:pt>
                <c:pt idx="703">
                  <c:v>2.2204460492503131E-15</c:v>
                </c:pt>
                <c:pt idx="704">
                  <c:v>4.2188474935755949E-15</c:v>
                </c:pt>
                <c:pt idx="705">
                  <c:v>3.1086244689504383E-15</c:v>
                </c:pt>
                <c:pt idx="706">
                  <c:v>5.1070259132757201E-15</c:v>
                </c:pt>
                <c:pt idx="707">
                  <c:v>0</c:v>
                </c:pt>
                <c:pt idx="708">
                  <c:v>2.2204460492503131E-15</c:v>
                </c:pt>
                <c:pt idx="709">
                  <c:v>0</c:v>
                </c:pt>
                <c:pt idx="710">
                  <c:v>4.8849813083506888E-15</c:v>
                </c:pt>
                <c:pt idx="711">
                  <c:v>1.7763568394002505E-15</c:v>
                </c:pt>
                <c:pt idx="712">
                  <c:v>2.886579864025407E-15</c:v>
                </c:pt>
                <c:pt idx="713">
                  <c:v>0</c:v>
                </c:pt>
                <c:pt idx="714">
                  <c:v>4.8849813083506888E-15</c:v>
                </c:pt>
                <c:pt idx="715">
                  <c:v>3.5527136788005009E-15</c:v>
                </c:pt>
                <c:pt idx="716">
                  <c:v>0</c:v>
                </c:pt>
                <c:pt idx="717">
                  <c:v>5.1070259132757201E-15</c:v>
                </c:pt>
                <c:pt idx="718">
                  <c:v>3.7747582837255322E-15</c:v>
                </c:pt>
                <c:pt idx="719">
                  <c:v>0</c:v>
                </c:pt>
                <c:pt idx="720">
                  <c:v>2.4424906541753444E-15</c:v>
                </c:pt>
                <c:pt idx="721">
                  <c:v>0</c:v>
                </c:pt>
                <c:pt idx="722">
                  <c:v>0</c:v>
                </c:pt>
                <c:pt idx="723">
                  <c:v>3.1086244689504383E-15</c:v>
                </c:pt>
                <c:pt idx="724">
                  <c:v>2.886579864025407E-15</c:v>
                </c:pt>
                <c:pt idx="725">
                  <c:v>5.3290705182007514E-15</c:v>
                </c:pt>
                <c:pt idx="726">
                  <c:v>4.4408920985006262E-15</c:v>
                </c:pt>
                <c:pt idx="727">
                  <c:v>1.9984014443252818E-15</c:v>
                </c:pt>
                <c:pt idx="728">
                  <c:v>0</c:v>
                </c:pt>
                <c:pt idx="729">
                  <c:v>1.9984014443252818E-15</c:v>
                </c:pt>
                <c:pt idx="730">
                  <c:v>3.1086244689504383E-15</c:v>
                </c:pt>
                <c:pt idx="731">
                  <c:v>3.1086244689504383E-15</c:v>
                </c:pt>
                <c:pt idx="732">
                  <c:v>2.4424906541753444E-15</c:v>
                </c:pt>
                <c:pt idx="733">
                  <c:v>0</c:v>
                </c:pt>
                <c:pt idx="734">
                  <c:v>3.5527136788005009E-15</c:v>
                </c:pt>
                <c:pt idx="735">
                  <c:v>2.886579864025407E-15</c:v>
                </c:pt>
                <c:pt idx="736">
                  <c:v>2.2204460492503131E-15</c:v>
                </c:pt>
                <c:pt idx="737">
                  <c:v>3.5527136788005009E-15</c:v>
                </c:pt>
                <c:pt idx="738">
                  <c:v>3.7747582837255322E-15</c:v>
                </c:pt>
                <c:pt idx="739">
                  <c:v>1.7763568394002505E-15</c:v>
                </c:pt>
                <c:pt idx="740">
                  <c:v>3.3306690738754696E-15</c:v>
                </c:pt>
                <c:pt idx="741">
                  <c:v>0</c:v>
                </c:pt>
                <c:pt idx="742">
                  <c:v>3.9968028886505635E-15</c:v>
                </c:pt>
                <c:pt idx="743">
                  <c:v>0</c:v>
                </c:pt>
                <c:pt idx="744">
                  <c:v>3.7747582837255322E-15</c:v>
                </c:pt>
                <c:pt idx="745">
                  <c:v>3.5527136788005009E-15</c:v>
                </c:pt>
                <c:pt idx="746">
                  <c:v>0</c:v>
                </c:pt>
                <c:pt idx="747">
                  <c:v>2.6645352591003757E-15</c:v>
                </c:pt>
                <c:pt idx="748">
                  <c:v>4.8849813083506888E-15</c:v>
                </c:pt>
                <c:pt idx="749">
                  <c:v>2.2204460492503131E-15</c:v>
                </c:pt>
                <c:pt idx="750">
                  <c:v>4.8849813083506888E-15</c:v>
                </c:pt>
                <c:pt idx="751">
                  <c:v>2.886579864025407E-15</c:v>
                </c:pt>
                <c:pt idx="752">
                  <c:v>4.2188474935755949E-15</c:v>
                </c:pt>
                <c:pt idx="753">
                  <c:v>0</c:v>
                </c:pt>
                <c:pt idx="754">
                  <c:v>0</c:v>
                </c:pt>
                <c:pt idx="755">
                  <c:v>2.886579864025407E-15</c:v>
                </c:pt>
                <c:pt idx="756">
                  <c:v>4.6629367034256575E-15</c:v>
                </c:pt>
                <c:pt idx="757">
                  <c:v>3.5527136788005009E-15</c:v>
                </c:pt>
                <c:pt idx="758">
                  <c:v>4.4408920985006262E-15</c:v>
                </c:pt>
                <c:pt idx="759">
                  <c:v>2.6645352591003757E-15</c:v>
                </c:pt>
                <c:pt idx="760">
                  <c:v>0</c:v>
                </c:pt>
                <c:pt idx="761">
                  <c:v>2.2204460492503131E-15</c:v>
                </c:pt>
                <c:pt idx="762">
                  <c:v>4.2188474935755949E-15</c:v>
                </c:pt>
                <c:pt idx="763">
                  <c:v>3.3306690738754696E-15</c:v>
                </c:pt>
                <c:pt idx="764">
                  <c:v>0</c:v>
                </c:pt>
                <c:pt idx="765">
                  <c:v>1.7763568394002505E-15</c:v>
                </c:pt>
                <c:pt idx="766">
                  <c:v>2.886579864025407E-15</c:v>
                </c:pt>
                <c:pt idx="767">
                  <c:v>2.6645352591003757E-15</c:v>
                </c:pt>
                <c:pt idx="768">
                  <c:v>0</c:v>
                </c:pt>
                <c:pt idx="769">
                  <c:v>4.6629367034256575E-15</c:v>
                </c:pt>
                <c:pt idx="770">
                  <c:v>3.1086244689504383E-15</c:v>
                </c:pt>
                <c:pt idx="771">
                  <c:v>4.8849813083506888E-15</c:v>
                </c:pt>
                <c:pt idx="772">
                  <c:v>3.5527136788005009E-15</c:v>
                </c:pt>
                <c:pt idx="773">
                  <c:v>4.4408920985006262E-15</c:v>
                </c:pt>
                <c:pt idx="774">
                  <c:v>2.2204460492503131E-15</c:v>
                </c:pt>
                <c:pt idx="775">
                  <c:v>1.9984014443252818E-15</c:v>
                </c:pt>
                <c:pt idx="776">
                  <c:v>0</c:v>
                </c:pt>
                <c:pt idx="777">
                  <c:v>0</c:v>
                </c:pt>
                <c:pt idx="778">
                  <c:v>2.2204460492503131E-15</c:v>
                </c:pt>
                <c:pt idx="779">
                  <c:v>4.2188474935755949E-15</c:v>
                </c:pt>
                <c:pt idx="780">
                  <c:v>0</c:v>
                </c:pt>
                <c:pt idx="781">
                  <c:v>4.4408920985006262E-15</c:v>
                </c:pt>
                <c:pt idx="782">
                  <c:v>3.5527136788005009E-15</c:v>
                </c:pt>
                <c:pt idx="783">
                  <c:v>1.9984014443252818E-15</c:v>
                </c:pt>
                <c:pt idx="784">
                  <c:v>4.2188474935755949E-15</c:v>
                </c:pt>
                <c:pt idx="785">
                  <c:v>3.1086244689504383E-15</c:v>
                </c:pt>
                <c:pt idx="786">
                  <c:v>0</c:v>
                </c:pt>
                <c:pt idx="787">
                  <c:v>0</c:v>
                </c:pt>
                <c:pt idx="788">
                  <c:v>4.4408920985006262E-15</c:v>
                </c:pt>
                <c:pt idx="789">
                  <c:v>1.7763568394002505E-15</c:v>
                </c:pt>
                <c:pt idx="790">
                  <c:v>4.8849813083506888E-15</c:v>
                </c:pt>
                <c:pt idx="791">
                  <c:v>4.6629367034256575E-15</c:v>
                </c:pt>
                <c:pt idx="792">
                  <c:v>3.1086244689504383E-15</c:v>
                </c:pt>
                <c:pt idx="793">
                  <c:v>4.8849813083506888E-15</c:v>
                </c:pt>
                <c:pt idx="794">
                  <c:v>4.6629367034256575E-15</c:v>
                </c:pt>
                <c:pt idx="795">
                  <c:v>0</c:v>
                </c:pt>
                <c:pt idx="796">
                  <c:v>3.3306690738754696E-15</c:v>
                </c:pt>
                <c:pt idx="797">
                  <c:v>3.7747582837255322E-15</c:v>
                </c:pt>
                <c:pt idx="798">
                  <c:v>3.7747582837255322E-15</c:v>
                </c:pt>
                <c:pt idx="799">
                  <c:v>0</c:v>
                </c:pt>
                <c:pt idx="800">
                  <c:v>4.6629367034256575E-15</c:v>
                </c:pt>
                <c:pt idx="801">
                  <c:v>4.6629367034256575E-15</c:v>
                </c:pt>
                <c:pt idx="802">
                  <c:v>4.2188474935755949E-15</c:v>
                </c:pt>
                <c:pt idx="803">
                  <c:v>1.7763568394002505E-15</c:v>
                </c:pt>
                <c:pt idx="804">
                  <c:v>3.5527136788005009E-15</c:v>
                </c:pt>
                <c:pt idx="805">
                  <c:v>3.7747582837255322E-15</c:v>
                </c:pt>
                <c:pt idx="806">
                  <c:v>2.6645352591003757E-15</c:v>
                </c:pt>
                <c:pt idx="807">
                  <c:v>3.5527136788005009E-15</c:v>
                </c:pt>
                <c:pt idx="808">
                  <c:v>0</c:v>
                </c:pt>
                <c:pt idx="809">
                  <c:v>0</c:v>
                </c:pt>
                <c:pt idx="810">
                  <c:v>2.2204460492503131E-15</c:v>
                </c:pt>
                <c:pt idx="811">
                  <c:v>2.886579864025407E-15</c:v>
                </c:pt>
                <c:pt idx="812">
                  <c:v>0</c:v>
                </c:pt>
                <c:pt idx="813">
                  <c:v>3.7747582837255322E-15</c:v>
                </c:pt>
                <c:pt idx="814">
                  <c:v>4.2188474935755949E-15</c:v>
                </c:pt>
                <c:pt idx="815">
                  <c:v>4.2188474935755949E-15</c:v>
                </c:pt>
                <c:pt idx="816">
                  <c:v>0</c:v>
                </c:pt>
                <c:pt idx="817">
                  <c:v>3.3306690738754696E-15</c:v>
                </c:pt>
                <c:pt idx="818">
                  <c:v>4.8849813083506888E-15</c:v>
                </c:pt>
                <c:pt idx="819">
                  <c:v>0</c:v>
                </c:pt>
                <c:pt idx="820">
                  <c:v>0</c:v>
                </c:pt>
                <c:pt idx="821">
                  <c:v>2.6645352591003757E-15</c:v>
                </c:pt>
                <c:pt idx="822">
                  <c:v>1.7763568394002505E-15</c:v>
                </c:pt>
                <c:pt idx="823">
                  <c:v>4.4408920985006262E-15</c:v>
                </c:pt>
                <c:pt idx="824">
                  <c:v>2.4424906541753444E-15</c:v>
                </c:pt>
                <c:pt idx="825">
                  <c:v>2.4424906541753444E-15</c:v>
                </c:pt>
                <c:pt idx="826">
                  <c:v>2.2204460492503131E-15</c:v>
                </c:pt>
                <c:pt idx="827">
                  <c:v>4.2188474935755949E-15</c:v>
                </c:pt>
                <c:pt idx="828">
                  <c:v>0</c:v>
                </c:pt>
                <c:pt idx="829">
                  <c:v>3.9968028886505635E-15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2.2204460492503131E-15</c:v>
                </c:pt>
                <c:pt idx="834">
                  <c:v>4.4408920985006262E-15</c:v>
                </c:pt>
                <c:pt idx="835">
                  <c:v>2.6645352591003757E-15</c:v>
                </c:pt>
                <c:pt idx="836">
                  <c:v>3.7747582837255322E-15</c:v>
                </c:pt>
                <c:pt idx="837">
                  <c:v>4.6629367034256575E-15</c:v>
                </c:pt>
                <c:pt idx="838">
                  <c:v>2.4424906541753444E-15</c:v>
                </c:pt>
                <c:pt idx="839">
                  <c:v>2.6645352591003757E-15</c:v>
                </c:pt>
                <c:pt idx="840">
                  <c:v>2.886579864025407E-15</c:v>
                </c:pt>
                <c:pt idx="841">
                  <c:v>2.6645352591003757E-15</c:v>
                </c:pt>
                <c:pt idx="842">
                  <c:v>3.5527136788005009E-15</c:v>
                </c:pt>
                <c:pt idx="843">
                  <c:v>3.9968028886505635E-15</c:v>
                </c:pt>
                <c:pt idx="844">
                  <c:v>4.2188474935755949E-15</c:v>
                </c:pt>
                <c:pt idx="845">
                  <c:v>0</c:v>
                </c:pt>
                <c:pt idx="846">
                  <c:v>2.4424906541753444E-15</c:v>
                </c:pt>
                <c:pt idx="847">
                  <c:v>2.2204460492503131E-15</c:v>
                </c:pt>
                <c:pt idx="848">
                  <c:v>2.2204460492503131E-15</c:v>
                </c:pt>
                <c:pt idx="849">
                  <c:v>4.4408920985006262E-15</c:v>
                </c:pt>
                <c:pt idx="850">
                  <c:v>3.7747582837255322E-15</c:v>
                </c:pt>
                <c:pt idx="851">
                  <c:v>2.6645352591003757E-15</c:v>
                </c:pt>
                <c:pt idx="852">
                  <c:v>4.8849813083506888E-15</c:v>
                </c:pt>
                <c:pt idx="853">
                  <c:v>0</c:v>
                </c:pt>
                <c:pt idx="854">
                  <c:v>3.5527136788005009E-15</c:v>
                </c:pt>
                <c:pt idx="855">
                  <c:v>0</c:v>
                </c:pt>
                <c:pt idx="856">
                  <c:v>3.1086244689504383E-15</c:v>
                </c:pt>
                <c:pt idx="857">
                  <c:v>3.9968028886505635E-15</c:v>
                </c:pt>
                <c:pt idx="858">
                  <c:v>4.6629367034256575E-15</c:v>
                </c:pt>
                <c:pt idx="859">
                  <c:v>3.1086244689504383E-15</c:v>
                </c:pt>
                <c:pt idx="860">
                  <c:v>2.886579864025407E-15</c:v>
                </c:pt>
                <c:pt idx="861">
                  <c:v>0</c:v>
                </c:pt>
                <c:pt idx="862">
                  <c:v>1.7763568394002505E-15</c:v>
                </c:pt>
                <c:pt idx="863">
                  <c:v>0</c:v>
                </c:pt>
                <c:pt idx="864">
                  <c:v>4.2188474935755949E-15</c:v>
                </c:pt>
                <c:pt idx="865">
                  <c:v>0</c:v>
                </c:pt>
                <c:pt idx="866">
                  <c:v>3.5527136788005009E-15</c:v>
                </c:pt>
                <c:pt idx="867">
                  <c:v>1.9984014443252818E-15</c:v>
                </c:pt>
                <c:pt idx="868">
                  <c:v>2.886579864025407E-15</c:v>
                </c:pt>
                <c:pt idx="869">
                  <c:v>2.886579864025407E-15</c:v>
                </c:pt>
                <c:pt idx="870">
                  <c:v>3.7747582837255322E-15</c:v>
                </c:pt>
                <c:pt idx="871">
                  <c:v>4.4408920985006262E-15</c:v>
                </c:pt>
                <c:pt idx="872">
                  <c:v>0</c:v>
                </c:pt>
                <c:pt idx="873">
                  <c:v>3.3306690738754696E-15</c:v>
                </c:pt>
                <c:pt idx="874">
                  <c:v>2.886579864025407E-15</c:v>
                </c:pt>
                <c:pt idx="875">
                  <c:v>0</c:v>
                </c:pt>
                <c:pt idx="876">
                  <c:v>0</c:v>
                </c:pt>
                <c:pt idx="877">
                  <c:v>3.5527136788005009E-15</c:v>
                </c:pt>
                <c:pt idx="878">
                  <c:v>3.9968028886505635E-15</c:v>
                </c:pt>
                <c:pt idx="879">
                  <c:v>0</c:v>
                </c:pt>
                <c:pt idx="880">
                  <c:v>2.4424906541753444E-15</c:v>
                </c:pt>
                <c:pt idx="881">
                  <c:v>0</c:v>
                </c:pt>
                <c:pt idx="882">
                  <c:v>3.5527136788005009E-15</c:v>
                </c:pt>
                <c:pt idx="883">
                  <c:v>2.2204460492503131E-15</c:v>
                </c:pt>
                <c:pt idx="884">
                  <c:v>2.886579864025407E-15</c:v>
                </c:pt>
                <c:pt idx="885">
                  <c:v>3.5527136788005009E-15</c:v>
                </c:pt>
                <c:pt idx="886">
                  <c:v>3.7747582837255322E-15</c:v>
                </c:pt>
                <c:pt idx="887">
                  <c:v>1.9984014443252818E-15</c:v>
                </c:pt>
                <c:pt idx="888">
                  <c:v>0</c:v>
                </c:pt>
                <c:pt idx="889">
                  <c:v>0</c:v>
                </c:pt>
                <c:pt idx="890">
                  <c:v>2.6645352591003757E-15</c:v>
                </c:pt>
                <c:pt idx="891">
                  <c:v>4.4408920985006262E-15</c:v>
                </c:pt>
                <c:pt idx="892">
                  <c:v>2.2204460492503131E-15</c:v>
                </c:pt>
                <c:pt idx="893">
                  <c:v>0</c:v>
                </c:pt>
                <c:pt idx="894">
                  <c:v>2.4424906541753444E-15</c:v>
                </c:pt>
                <c:pt idx="895">
                  <c:v>0</c:v>
                </c:pt>
                <c:pt idx="896">
                  <c:v>3.1086244689504383E-15</c:v>
                </c:pt>
                <c:pt idx="897">
                  <c:v>2.2204460492503131E-15</c:v>
                </c:pt>
                <c:pt idx="898">
                  <c:v>0</c:v>
                </c:pt>
                <c:pt idx="899">
                  <c:v>2.6645352591003757E-15</c:v>
                </c:pt>
                <c:pt idx="900">
                  <c:v>0</c:v>
                </c:pt>
                <c:pt idx="901">
                  <c:v>2.2204460492503131E-15</c:v>
                </c:pt>
                <c:pt idx="902">
                  <c:v>0</c:v>
                </c:pt>
                <c:pt idx="903">
                  <c:v>1.7763568394002505E-15</c:v>
                </c:pt>
                <c:pt idx="904">
                  <c:v>2.2204460492503131E-15</c:v>
                </c:pt>
                <c:pt idx="905">
                  <c:v>2.6645352591003757E-15</c:v>
                </c:pt>
                <c:pt idx="906">
                  <c:v>2.6645352591003757E-15</c:v>
                </c:pt>
                <c:pt idx="907">
                  <c:v>2.2204460492503131E-15</c:v>
                </c:pt>
                <c:pt idx="908">
                  <c:v>0</c:v>
                </c:pt>
                <c:pt idx="909">
                  <c:v>1.7763568394002505E-15</c:v>
                </c:pt>
                <c:pt idx="910">
                  <c:v>0</c:v>
                </c:pt>
                <c:pt idx="911">
                  <c:v>3.9968028886505635E-15</c:v>
                </c:pt>
                <c:pt idx="912">
                  <c:v>0</c:v>
                </c:pt>
                <c:pt idx="913">
                  <c:v>1.9984014443252818E-15</c:v>
                </c:pt>
                <c:pt idx="914">
                  <c:v>2.886579864025407E-15</c:v>
                </c:pt>
                <c:pt idx="915">
                  <c:v>1.9984014443252818E-15</c:v>
                </c:pt>
                <c:pt idx="916">
                  <c:v>2.2204460492503131E-15</c:v>
                </c:pt>
                <c:pt idx="917">
                  <c:v>0</c:v>
                </c:pt>
                <c:pt idx="918">
                  <c:v>3.5527136788005009E-15</c:v>
                </c:pt>
                <c:pt idx="919">
                  <c:v>3.7747582837255322E-15</c:v>
                </c:pt>
                <c:pt idx="920">
                  <c:v>2.4424906541753444E-15</c:v>
                </c:pt>
                <c:pt idx="921">
                  <c:v>1.9984014443252818E-15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3.9968028886505635E-15</c:v>
                </c:pt>
                <c:pt idx="928">
                  <c:v>3.9968028886505635E-15</c:v>
                </c:pt>
                <c:pt idx="929">
                  <c:v>1.9984014443252818E-15</c:v>
                </c:pt>
                <c:pt idx="930">
                  <c:v>2.6645352591003757E-15</c:v>
                </c:pt>
                <c:pt idx="931">
                  <c:v>2.4424906541753444E-15</c:v>
                </c:pt>
                <c:pt idx="932">
                  <c:v>3.9968028886505635E-15</c:v>
                </c:pt>
                <c:pt idx="933">
                  <c:v>2.886579864025407E-15</c:v>
                </c:pt>
                <c:pt idx="934">
                  <c:v>1.7763568394002505E-15</c:v>
                </c:pt>
                <c:pt idx="935">
                  <c:v>3.1086244689504383E-15</c:v>
                </c:pt>
                <c:pt idx="936">
                  <c:v>0</c:v>
                </c:pt>
                <c:pt idx="937">
                  <c:v>2.886579864025407E-15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3.5527136788005009E-15</c:v>
                </c:pt>
                <c:pt idx="942">
                  <c:v>3.3306690738754696E-15</c:v>
                </c:pt>
                <c:pt idx="943">
                  <c:v>1.9984014443252818E-15</c:v>
                </c:pt>
                <c:pt idx="944">
                  <c:v>3.7747582837255322E-15</c:v>
                </c:pt>
                <c:pt idx="945">
                  <c:v>2.886579864025407E-15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3.3306690738754696E-15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3.1086244689504383E-15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2.4424906541753444E-15</c:v>
                </c:pt>
                <c:pt idx="960">
                  <c:v>0</c:v>
                </c:pt>
                <c:pt idx="961">
                  <c:v>3.3306690738754696E-15</c:v>
                </c:pt>
                <c:pt idx="962">
                  <c:v>3.3306690738754696E-15</c:v>
                </c:pt>
                <c:pt idx="963">
                  <c:v>0</c:v>
                </c:pt>
                <c:pt idx="964">
                  <c:v>3.1086244689504383E-15</c:v>
                </c:pt>
                <c:pt idx="965">
                  <c:v>2.886579864025407E-15</c:v>
                </c:pt>
                <c:pt idx="966">
                  <c:v>2.4424906541753444E-15</c:v>
                </c:pt>
                <c:pt idx="967">
                  <c:v>0</c:v>
                </c:pt>
                <c:pt idx="968">
                  <c:v>2.4424906541753444E-15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2.886579864025407E-15</c:v>
                </c:pt>
                <c:pt idx="974">
                  <c:v>1.7763568394002505E-15</c:v>
                </c:pt>
                <c:pt idx="975">
                  <c:v>2.2204460492503131E-15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2.4424906541753444E-15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1.7763568394002505E-15</c:v>
                </c:pt>
                <c:pt idx="987">
                  <c:v>0</c:v>
                </c:pt>
                <c:pt idx="988">
                  <c:v>0</c:v>
                </c:pt>
                <c:pt idx="989">
                  <c:v>2.2204460492503131E-15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1.7763568394002505E-15</c:v>
                </c:pt>
                <c:pt idx="996">
                  <c:v>0</c:v>
                </c:pt>
                <c:pt idx="997">
                  <c:v>1.9984014443252818E-15</c:v>
                </c:pt>
                <c:pt idx="998">
                  <c:v>2.2204460492503131E-15</c:v>
                </c:pt>
                <c:pt idx="999">
                  <c:v>2.4424906541753444E-15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6C-416D-BA30-1FA318130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78432"/>
        <c:axId val="230584704"/>
      </c:scatterChart>
      <c:valAx>
        <c:axId val="230578432"/>
        <c:scaling>
          <c:orientation val="minMax"/>
          <c:max val="1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30584704"/>
        <c:crosses val="autoZero"/>
        <c:crossBetween val="midCat"/>
      </c:valAx>
      <c:valAx>
        <c:axId val="23058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78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7.5279095549710656E-2"/>
          <c:y val="0.88466315601559109"/>
          <c:w val="0.1949759053645376"/>
          <c:h val="4.0085386025597358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Maple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CompEllInt!$B$5:$B$1004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</c:numCache>
            </c:numRef>
          </c:xVal>
          <c:yVal>
            <c:numRef>
              <c:f>CompEllInt!$C$5:$C$1004</c:f>
              <c:numCache>
                <c:formatCode>General</c:formatCode>
                <c:ptCount val="1000"/>
                <c:pt idx="0">
                  <c:v>1.5707963267948899</c:v>
                </c:pt>
                <c:pt idx="1">
                  <c:v>1.5707967194941901</c:v>
                </c:pt>
                <c:pt idx="2">
                  <c:v>1.5707978975947501</c:v>
                </c:pt>
                <c:pt idx="3">
                  <c:v>1.57079986110452</c:v>
                </c:pt>
                <c:pt idx="4">
                  <c:v>1.57080261003675</c:v>
                </c:pt>
                <c:pt idx="5">
                  <c:v>1.5708061444099899</c:v>
                </c:pt>
                <c:pt idx="6">
                  <c:v>1.57081046424812</c:v>
                </c:pt>
                <c:pt idx="7">
                  <c:v>1.5708155695802799</c:v>
                </c:pt>
                <c:pt idx="8">
                  <c:v>1.5708214604409401</c:v>
                </c:pt>
                <c:pt idx="9">
                  <c:v>1.57082813686987</c:v>
                </c:pt>
                <c:pt idx="10">
                  <c:v>1.5708355989121501</c:v>
                </c:pt>
                <c:pt idx="11">
                  <c:v>1.57084384661815</c:v>
                </c:pt>
                <c:pt idx="12">
                  <c:v>1.5708528800435599</c:v>
                </c:pt>
                <c:pt idx="13">
                  <c:v>1.5708626992493699</c:v>
                </c:pt>
                <c:pt idx="14">
                  <c:v>1.5708733043018901</c:v>
                </c:pt>
                <c:pt idx="15">
                  <c:v>1.57088469527274</c:v>
                </c:pt>
                <c:pt idx="16">
                  <c:v>1.5708968722388399</c:v>
                </c:pt>
                <c:pt idx="17">
                  <c:v>1.57090983528243</c:v>
                </c:pt>
                <c:pt idx="18">
                  <c:v>1.5709235844910701</c:v>
                </c:pt>
                <c:pt idx="19">
                  <c:v>1.57093811995763</c:v>
                </c:pt>
                <c:pt idx="20">
                  <c:v>1.5709534417803099</c:v>
                </c:pt>
                <c:pt idx="21">
                  <c:v>1.57096955006262</c:v>
                </c:pt>
                <c:pt idx="22">
                  <c:v>1.5709864449133999</c:v>
                </c:pt>
                <c:pt idx="23">
                  <c:v>1.57100412644681</c:v>
                </c:pt>
                <c:pt idx="24">
                  <c:v>1.57102259478235</c:v>
                </c:pt>
                <c:pt idx="25">
                  <c:v>1.57104185004484</c:v>
                </c:pt>
                <c:pt idx="26">
                  <c:v>1.5710618923644399</c:v>
                </c:pt>
                <c:pt idx="27">
                  <c:v>1.5710827218766299</c:v>
                </c:pt>
                <c:pt idx="28">
                  <c:v>1.5711043387222601</c:v>
                </c:pt>
                <c:pt idx="29">
                  <c:v>1.57112674304749</c:v>
                </c:pt>
                <c:pt idx="30">
                  <c:v>1.57114993500384</c:v>
                </c:pt>
                <c:pt idx="31">
                  <c:v>1.57117391474819</c:v>
                </c:pt>
                <c:pt idx="32">
                  <c:v>1.57119868244273</c:v>
                </c:pt>
                <c:pt idx="33">
                  <c:v>1.5712242382550601</c:v>
                </c:pt>
                <c:pt idx="34">
                  <c:v>1.5712505823581</c:v>
                </c:pt>
                <c:pt idx="35">
                  <c:v>1.57127771493013</c:v>
                </c:pt>
                <c:pt idx="36">
                  <c:v>1.5713056361548301</c:v>
                </c:pt>
                <c:pt idx="37">
                  <c:v>1.5713343462212099</c:v>
                </c:pt>
                <c:pt idx="38">
                  <c:v>1.57136384532368</c:v>
                </c:pt>
                <c:pt idx="39">
                  <c:v>1.5713941336620201</c:v>
                </c:pt>
                <c:pt idx="40">
                  <c:v>1.57142521144138</c:v>
                </c:pt>
                <c:pt idx="41">
                  <c:v>1.5714570788723099</c:v>
                </c:pt>
                <c:pt idx="42">
                  <c:v>1.5714897361707401</c:v>
                </c:pt>
                <c:pt idx="43">
                  <c:v>1.5715231835580199</c:v>
                </c:pt>
                <c:pt idx="44">
                  <c:v>1.5715574212608601</c:v>
                </c:pt>
                <c:pt idx="45">
                  <c:v>1.57159244951141</c:v>
                </c:pt>
                <c:pt idx="46">
                  <c:v>1.5716282685472001</c:v>
                </c:pt>
                <c:pt idx="47">
                  <c:v>1.57166487861119</c:v>
                </c:pt>
                <c:pt idx="48">
                  <c:v>1.5717022799517699</c:v>
                </c:pt>
                <c:pt idx="49">
                  <c:v>1.57174047282272</c:v>
                </c:pt>
                <c:pt idx="50">
                  <c:v>1.57177945748329</c:v>
                </c:pt>
                <c:pt idx="51">
                  <c:v>1.5718192341981401</c:v>
                </c:pt>
                <c:pt idx="52">
                  <c:v>1.5718598032373701</c:v>
                </c:pt>
                <c:pt idx="53">
                  <c:v>1.57190116487654</c:v>
                </c:pt>
                <c:pt idx="54">
                  <c:v>1.5719433193966601</c:v>
                </c:pt>
                <c:pt idx="55">
                  <c:v>1.57198626708419</c:v>
                </c:pt>
                <c:pt idx="56">
                  <c:v>1.5720300082310501</c:v>
                </c:pt>
                <c:pt idx="57">
                  <c:v>1.5720745431346499</c:v>
                </c:pt>
                <c:pt idx="58">
                  <c:v>1.57211987209786</c:v>
                </c:pt>
                <c:pt idx="59">
                  <c:v>1.5721659954290399</c:v>
                </c:pt>
                <c:pt idx="60">
                  <c:v>1.5722129134420399</c:v>
                </c:pt>
                <c:pt idx="61">
                  <c:v>1.57226062645619</c:v>
                </c:pt>
                <c:pt idx="62">
                  <c:v>1.57230913479635</c:v>
                </c:pt>
                <c:pt idx="63">
                  <c:v>1.57235843879287</c:v>
                </c:pt>
                <c:pt idx="64">
                  <c:v>1.57240853878162</c:v>
                </c:pt>
                <c:pt idx="65">
                  <c:v>1.57245943510401</c:v>
                </c:pt>
                <c:pt idx="66">
                  <c:v>1.5725111281069499</c:v>
                </c:pt>
                <c:pt idx="67">
                  <c:v>1.5725636181429199</c:v>
                </c:pt>
                <c:pt idx="68">
                  <c:v>1.57261690556992</c:v>
                </c:pt>
                <c:pt idx="69">
                  <c:v>1.5726709907515299</c:v>
                </c:pt>
                <c:pt idx="70">
                  <c:v>1.5727258740568599</c:v>
                </c:pt>
                <c:pt idx="71">
                  <c:v>1.57278155586061</c:v>
                </c:pt>
                <c:pt idx="72">
                  <c:v>1.5728380365430501</c:v>
                </c:pt>
                <c:pt idx="73">
                  <c:v>1.5728953164900501</c:v>
                </c:pt>
                <c:pt idx="74">
                  <c:v>1.57295339609304</c:v>
                </c:pt>
                <c:pt idx="75">
                  <c:v>1.5730122757490901</c:v>
                </c:pt>
                <c:pt idx="76">
                  <c:v>1.5730719558608499</c:v>
                </c:pt>
                <c:pt idx="77">
                  <c:v>1.5731324368366</c:v>
                </c:pt>
                <c:pt idx="78">
                  <c:v>1.5731937190902501</c:v>
                </c:pt>
                <c:pt idx="79">
                  <c:v>1.5732558030413399</c:v>
                </c:pt>
                <c:pt idx="80">
                  <c:v>1.5733186891150599</c:v>
                </c:pt>
                <c:pt idx="81">
                  <c:v>1.57338237774225</c:v>
                </c:pt>
                <c:pt idx="82">
                  <c:v>1.5734468693594099</c:v>
                </c:pt>
                <c:pt idx="83">
                  <c:v>1.57351216440873</c:v>
                </c:pt>
                <c:pt idx="84">
                  <c:v>1.57357826333805</c:v>
                </c:pt>
                <c:pt idx="85">
                  <c:v>1.5736451666009299</c:v>
                </c:pt>
                <c:pt idx="86">
                  <c:v>1.57371287465663</c:v>
                </c:pt>
                <c:pt idx="87">
                  <c:v>1.5737813879700899</c:v>
                </c:pt>
                <c:pt idx="88">
                  <c:v>1.57385070701202</c:v>
                </c:pt>
                <c:pt idx="89">
                  <c:v>1.5739208322588101</c:v>
                </c:pt>
                <c:pt idx="90">
                  <c:v>1.57399176419263</c:v>
                </c:pt>
                <c:pt idx="91">
                  <c:v>1.5740635033013799</c:v>
                </c:pt>
                <c:pt idx="92">
                  <c:v>1.57413605007873</c:v>
                </c:pt>
                <c:pt idx="93">
                  <c:v>1.57420940502412</c:v>
                </c:pt>
                <c:pt idx="94">
                  <c:v>1.5742835686427801</c:v>
                </c:pt>
                <c:pt idx="95">
                  <c:v>1.57435854144573</c:v>
                </c:pt>
                <c:pt idx="96">
                  <c:v>1.57443432394978</c:v>
                </c:pt>
                <c:pt idx="97">
                  <c:v>1.5745109166775799</c:v>
                </c:pt>
                <c:pt idx="98">
                  <c:v>1.5745883201575901</c:v>
                </c:pt>
                <c:pt idx="99">
                  <c:v>1.57466653492413</c:v>
                </c:pt>
                <c:pt idx="100">
                  <c:v>1.57474556151735</c:v>
                </c:pt>
                <c:pt idx="101">
                  <c:v>1.57482540048327</c:v>
                </c:pt>
                <c:pt idx="102">
                  <c:v>1.5749060523737799</c:v>
                </c:pt>
                <c:pt idx="103">
                  <c:v>1.5749875177466599</c:v>
                </c:pt>
                <c:pt idx="104">
                  <c:v>1.57506979716558</c:v>
                </c:pt>
                <c:pt idx="105">
                  <c:v>1.57515289120015</c:v>
                </c:pt>
                <c:pt idx="106">
                  <c:v>1.5752368004258499</c:v>
                </c:pt>
                <c:pt idx="107">
                  <c:v>1.5753215254241399</c:v>
                </c:pt>
                <c:pt idx="108">
                  <c:v>1.57540706678242</c:v>
                </c:pt>
                <c:pt idx="109">
                  <c:v>1.57549342509402</c:v>
                </c:pt>
                <c:pt idx="110">
                  <c:v>1.57558060095828</c:v>
                </c:pt>
                <c:pt idx="111">
                  <c:v>1.57566859498052</c:v>
                </c:pt>
                <c:pt idx="112">
                  <c:v>1.57575740777203</c:v>
                </c:pt>
                <c:pt idx="113">
                  <c:v>1.5758470399501401</c:v>
                </c:pt>
                <c:pt idx="114">
                  <c:v>1.5759374921382101</c:v>
                </c:pt>
                <c:pt idx="115">
                  <c:v>1.5760287649656199</c:v>
                </c:pt>
                <c:pt idx="116">
                  <c:v>1.57612085906782</c:v>
                </c:pt>
                <c:pt idx="117">
                  <c:v>1.5762137750863201</c:v>
                </c:pt>
                <c:pt idx="118">
                  <c:v>1.5763075136687099</c:v>
                </c:pt>
                <c:pt idx="119">
                  <c:v>1.5764020754686701</c:v>
                </c:pt>
                <c:pt idx="120">
                  <c:v>1.5764974611460101</c:v>
                </c:pt>
                <c:pt idx="121">
                  <c:v>1.57659367136665</c:v>
                </c:pt>
                <c:pt idx="122">
                  <c:v>1.5766907068026501</c:v>
                </c:pt>
                <c:pt idx="123">
                  <c:v>1.57678856813222</c:v>
                </c:pt>
                <c:pt idx="124">
                  <c:v>1.57688725603975</c:v>
                </c:pt>
                <c:pt idx="125">
                  <c:v>1.5769867712158101</c:v>
                </c:pt>
                <c:pt idx="126">
                  <c:v>1.5770871143571601</c:v>
                </c:pt>
                <c:pt idx="127">
                  <c:v>1.5771882861667801</c:v>
                </c:pt>
                <c:pt idx="128">
                  <c:v>1.5772902873538901</c:v>
                </c:pt>
                <c:pt idx="129">
                  <c:v>1.5773931186339401</c:v>
                </c:pt>
                <c:pt idx="130">
                  <c:v>1.57749678072865</c:v>
                </c:pt>
                <c:pt idx="131">
                  <c:v>1.5776012743660199</c:v>
                </c:pt>
                <c:pt idx="132">
                  <c:v>1.5777066002803299</c:v>
                </c:pt>
                <c:pt idx="133">
                  <c:v>1.57781275921218</c:v>
                </c:pt>
                <c:pt idx="134">
                  <c:v>1.5779197519085</c:v>
                </c:pt>
                <c:pt idx="135">
                  <c:v>1.57802757912256</c:v>
                </c:pt>
                <c:pt idx="136">
                  <c:v>1.5781362416139799</c:v>
                </c:pt>
                <c:pt idx="137">
                  <c:v>1.57824574014876</c:v>
                </c:pt>
                <c:pt idx="138">
                  <c:v>1.57835607549931</c:v>
                </c:pt>
                <c:pt idx="139">
                  <c:v>1.57846724844443</c:v>
                </c:pt>
                <c:pt idx="140">
                  <c:v>1.57857925976935</c:v>
                </c:pt>
                <c:pt idx="141">
                  <c:v>1.5786921102657701</c:v>
                </c:pt>
                <c:pt idx="142">
                  <c:v>1.57880580073181</c:v>
                </c:pt>
                <c:pt idx="143">
                  <c:v>1.5789203319721199</c:v>
                </c:pt>
                <c:pt idx="144">
                  <c:v>1.5790357047978201</c:v>
                </c:pt>
                <c:pt idx="145">
                  <c:v>1.57915192002654</c:v>
                </c:pt>
                <c:pt idx="146">
                  <c:v>1.5792689784824701</c:v>
                </c:pt>
                <c:pt idx="147">
                  <c:v>1.5793868809963501</c:v>
                </c:pt>
                <c:pt idx="148">
                  <c:v>1.57950562840547</c:v>
                </c:pt>
                <c:pt idx="149">
                  <c:v>1.5796252215537401</c:v>
                </c:pt>
                <c:pt idx="150">
                  <c:v>1.5797456612916601</c:v>
                </c:pt>
                <c:pt idx="151">
                  <c:v>1.5798669484763801</c:v>
                </c:pt>
                <c:pt idx="152">
                  <c:v>1.5799890839716899</c:v>
                </c:pt>
                <c:pt idx="153">
                  <c:v>1.5801120686480401</c:v>
                </c:pt>
                <c:pt idx="154">
                  <c:v>1.5802359033825799</c:v>
                </c:pt>
                <c:pt idx="155">
                  <c:v>1.5803605890591701</c:v>
                </c:pt>
                <c:pt idx="156">
                  <c:v>1.5804861265684</c:v>
                </c:pt>
                <c:pt idx="157">
                  <c:v>1.58061251680759</c:v>
                </c:pt>
                <c:pt idx="158">
                  <c:v>1.58073976068084</c:v>
                </c:pt>
                <c:pt idx="159">
                  <c:v>1.5808678590990699</c:v>
                </c:pt>
                <c:pt idx="160">
                  <c:v>1.5809968129799601</c:v>
                </c:pt>
                <c:pt idx="161">
                  <c:v>1.5811266232480501</c:v>
                </c:pt>
                <c:pt idx="162">
                  <c:v>1.58125729083474</c:v>
                </c:pt>
                <c:pt idx="163">
                  <c:v>1.5813888166782899</c:v>
                </c:pt>
                <c:pt idx="164">
                  <c:v>1.58152120172385</c:v>
                </c:pt>
                <c:pt idx="165">
                  <c:v>1.5816544469235101</c:v>
                </c:pt>
                <c:pt idx="166">
                  <c:v>1.5817885532362701</c:v>
                </c:pt>
                <c:pt idx="167">
                  <c:v>1.58192352162812</c:v>
                </c:pt>
                <c:pt idx="168">
                  <c:v>1.5820593530720299</c:v>
                </c:pt>
                <c:pt idx="169">
                  <c:v>1.58219604854794</c:v>
                </c:pt>
                <c:pt idx="170">
                  <c:v>1.5823336090428699</c:v>
                </c:pt>
                <c:pt idx="171">
                  <c:v>1.5824720355508599</c:v>
                </c:pt>
                <c:pt idx="172">
                  <c:v>1.5826113290730199</c:v>
                </c:pt>
                <c:pt idx="173">
                  <c:v>1.5827514906175899</c:v>
                </c:pt>
                <c:pt idx="174">
                  <c:v>1.5828925211999001</c:v>
                </c:pt>
                <c:pt idx="175">
                  <c:v>1.5830344218424299</c:v>
                </c:pt>
                <c:pt idx="176">
                  <c:v>1.58317719357485</c:v>
                </c:pt>
                <c:pt idx="177">
                  <c:v>1.58332083743399</c:v>
                </c:pt>
                <c:pt idx="178">
                  <c:v>1.5834653544639199</c:v>
                </c:pt>
                <c:pt idx="179">
                  <c:v>1.5836107457159401</c:v>
                </c:pt>
                <c:pt idx="180">
                  <c:v>1.58375701224862</c:v>
                </c:pt>
                <c:pt idx="181">
                  <c:v>1.5839041551278199</c:v>
                </c:pt>
                <c:pt idx="182">
                  <c:v>1.5840521754267201</c:v>
                </c:pt>
                <c:pt idx="183">
                  <c:v>1.5842010742258199</c:v>
                </c:pt>
                <c:pt idx="184">
                  <c:v>1.5843508526130201</c:v>
                </c:pt>
                <c:pt idx="185">
                  <c:v>1.5845015116835801</c:v>
                </c:pt>
                <c:pt idx="186">
                  <c:v>1.5846530525402001</c:v>
                </c:pt>
                <c:pt idx="187">
                  <c:v>1.5848054762929999</c:v>
                </c:pt>
                <c:pt idx="188">
                  <c:v>1.58495878405958</c:v>
                </c:pt>
                <c:pt idx="189">
                  <c:v>1.58511297696505</c:v>
                </c:pt>
                <c:pt idx="190">
                  <c:v>1.58526805614203</c:v>
                </c:pt>
                <c:pt idx="191">
                  <c:v>1.5854240227306899</c:v>
                </c:pt>
                <c:pt idx="192">
                  <c:v>1.5855808778787599</c:v>
                </c:pt>
                <c:pt idx="193">
                  <c:v>1.5857386227416099</c:v>
                </c:pt>
                <c:pt idx="194">
                  <c:v>1.58589725848221</c:v>
                </c:pt>
                <c:pt idx="195">
                  <c:v>1.5860567862712101</c:v>
                </c:pt>
                <c:pt idx="196">
                  <c:v>1.5862172072869201</c:v>
                </c:pt>
                <c:pt idx="197">
                  <c:v>1.5863785227153999</c:v>
                </c:pt>
                <c:pt idx="198">
                  <c:v>1.58654073375043</c:v>
                </c:pt>
                <c:pt idx="199">
                  <c:v>1.5867038415935599</c:v>
                </c:pt>
                <c:pt idx="200">
                  <c:v>1.58686784745416</c:v>
                </c:pt>
                <c:pt idx="201">
                  <c:v>1.5870327525494199</c:v>
                </c:pt>
                <c:pt idx="202">
                  <c:v>1.5871985581043799</c:v>
                </c:pt>
                <c:pt idx="203">
                  <c:v>1.5873652653519801</c:v>
                </c:pt>
                <c:pt idx="204">
                  <c:v>1.58753287553307</c:v>
                </c:pt>
                <c:pt idx="205">
                  <c:v>1.58770138989647</c:v>
                </c:pt>
                <c:pt idx="206">
                  <c:v>1.58787080969895</c:v>
                </c:pt>
                <c:pt idx="207">
                  <c:v>1.5880411362053199</c:v>
                </c:pt>
                <c:pt idx="208">
                  <c:v>1.5882123706883899</c:v>
                </c:pt>
                <c:pt idx="209">
                  <c:v>1.58838451442909</c:v>
                </c:pt>
                <c:pt idx="210">
                  <c:v>1.58855756871641</c:v>
                </c:pt>
                <c:pt idx="211">
                  <c:v>1.58873153484749</c:v>
                </c:pt>
                <c:pt idx="212">
                  <c:v>1.5889064141276501</c:v>
                </c:pt>
                <c:pt idx="213">
                  <c:v>1.5890822078703799</c:v>
                </c:pt>
                <c:pt idx="214">
                  <c:v>1.5892589173974201</c:v>
                </c:pt>
                <c:pt idx="215">
                  <c:v>1.5894365440387701</c:v>
                </c:pt>
                <c:pt idx="216">
                  <c:v>1.5896150891327201</c:v>
                </c:pt>
                <c:pt idx="217">
                  <c:v>1.58979455402588</c:v>
                </c:pt>
                <c:pt idx="218">
                  <c:v>1.5899749400732399</c:v>
                </c:pt>
                <c:pt idx="219">
                  <c:v>1.59015624863817</c:v>
                </c:pt>
                <c:pt idx="220">
                  <c:v>1.5903384810924699</c:v>
                </c:pt>
                <c:pt idx="221">
                  <c:v>1.5905216388164001</c:v>
                </c:pt>
                <c:pt idx="222">
                  <c:v>1.59070572319874</c:v>
                </c:pt>
                <c:pt idx="223">
                  <c:v>1.5908907356367701</c:v>
                </c:pt>
                <c:pt idx="224">
                  <c:v>1.5910766775363501</c:v>
                </c:pt>
                <c:pt idx="225">
                  <c:v>1.5912635503119299</c:v>
                </c:pt>
                <c:pt idx="226">
                  <c:v>1.5914513553866201</c:v>
                </c:pt>
                <c:pt idx="227">
                  <c:v>1.59164009419219</c:v>
                </c:pt>
                <c:pt idx="228">
                  <c:v>1.5918297681691</c:v>
                </c:pt>
                <c:pt idx="229">
                  <c:v>1.5920203787665801</c:v>
                </c:pt>
                <c:pt idx="230">
                  <c:v>1.5922119274426201</c:v>
                </c:pt>
                <c:pt idx="231">
                  <c:v>1.59240441566405</c:v>
                </c:pt>
                <c:pt idx="232">
                  <c:v>1.5925978449065299</c:v>
                </c:pt>
                <c:pt idx="233">
                  <c:v>1.59279221665463</c:v>
                </c:pt>
                <c:pt idx="234">
                  <c:v>1.5929875324018301</c:v>
                </c:pt>
                <c:pt idx="235">
                  <c:v>1.5931837936505999</c:v>
                </c:pt>
                <c:pt idx="236">
                  <c:v>1.5933810019124</c:v>
                </c:pt>
                <c:pt idx="237">
                  <c:v>1.5935791587077299</c:v>
                </c:pt>
                <c:pt idx="238">
                  <c:v>1.5937782655661901</c:v>
                </c:pt>
                <c:pt idx="239">
                  <c:v>1.59397832402647</c:v>
                </c:pt>
                <c:pt idx="240">
                  <c:v>1.59417933563647</c:v>
                </c:pt>
                <c:pt idx="241">
                  <c:v>1.59438130195324</c:v>
                </c:pt>
                <c:pt idx="242">
                  <c:v>1.5945842245430899</c:v>
                </c:pt>
                <c:pt idx="243">
                  <c:v>1.5947881049816199</c:v>
                </c:pt>
                <c:pt idx="244">
                  <c:v>1.5949929448537401</c:v>
                </c:pt>
                <c:pt idx="245">
                  <c:v>1.59519874575373</c:v>
                </c:pt>
                <c:pt idx="246">
                  <c:v>1.5954055092852499</c:v>
                </c:pt>
                <c:pt idx="247">
                  <c:v>1.59561323706145</c:v>
                </c:pt>
                <c:pt idx="248">
                  <c:v>1.59582193070491</c:v>
                </c:pt>
                <c:pt idx="249">
                  <c:v>1.5960315918477901</c:v>
                </c:pt>
                <c:pt idx="250">
                  <c:v>1.59624222213178</c:v>
                </c:pt>
                <c:pt idx="251">
                  <c:v>1.5964538232082099</c:v>
                </c:pt>
                <c:pt idx="252">
                  <c:v>1.5966663967380701</c:v>
                </c:pt>
                <c:pt idx="253">
                  <c:v>1.5968799443920201</c:v>
                </c:pt>
                <c:pt idx="254">
                  <c:v>1.5970944678504899</c:v>
                </c:pt>
                <c:pt idx="255">
                  <c:v>1.5973099688037</c:v>
                </c:pt>
                <c:pt idx="256">
                  <c:v>1.59752644895169</c:v>
                </c:pt>
                <c:pt idx="257">
                  <c:v>1.59774391000439</c:v>
                </c:pt>
                <c:pt idx="258">
                  <c:v>1.5979623536816301</c:v>
                </c:pt>
                <c:pt idx="259">
                  <c:v>1.59818178171323</c:v>
                </c:pt>
                <c:pt idx="260">
                  <c:v>1.59840219583902</c:v>
                </c:pt>
                <c:pt idx="261">
                  <c:v>1.5986235978088901</c:v>
                </c:pt>
                <c:pt idx="262">
                  <c:v>1.59884598938283</c:v>
                </c:pt>
                <c:pt idx="263">
                  <c:v>1.5990693723309899</c:v>
                </c:pt>
                <c:pt idx="264">
                  <c:v>1.59929374843372</c:v>
                </c:pt>
                <c:pt idx="265">
                  <c:v>1.5995191194816201</c:v>
                </c:pt>
                <c:pt idx="266">
                  <c:v>1.5997454872755801</c:v>
                </c:pt>
                <c:pt idx="267">
                  <c:v>1.5999728536268401</c:v>
                </c:pt>
                <c:pt idx="268">
                  <c:v>1.6002012203570399</c:v>
                </c:pt>
                <c:pt idx="269">
                  <c:v>1.60043058929824</c:v>
                </c:pt>
                <c:pt idx="270">
                  <c:v>1.6006609622930299</c:v>
                </c:pt>
                <c:pt idx="271">
                  <c:v>1.6008923411945</c:v>
                </c:pt>
                <c:pt idx="272">
                  <c:v>1.6011247278663601</c:v>
                </c:pt>
                <c:pt idx="273">
                  <c:v>1.60135812418296</c:v>
                </c:pt>
                <c:pt idx="274">
                  <c:v>1.60159253202934</c:v>
                </c:pt>
                <c:pt idx="275">
                  <c:v>1.60182795330127</c:v>
                </c:pt>
                <c:pt idx="276">
                  <c:v>1.6020643899053399</c:v>
                </c:pt>
                <c:pt idx="277">
                  <c:v>1.60230184375899</c:v>
                </c:pt>
                <c:pt idx="278">
                  <c:v>1.6025403167905401</c:v>
                </c:pt>
                <c:pt idx="279">
                  <c:v>1.6027798109392799</c:v>
                </c:pt>
                <c:pt idx="280">
                  <c:v>1.60302032815552</c:v>
                </c:pt>
                <c:pt idx="281">
                  <c:v>1.6032618704005901</c:v>
                </c:pt>
                <c:pt idx="282">
                  <c:v>1.60350443964699</c:v>
                </c:pt>
                <c:pt idx="283">
                  <c:v>1.60374803787835</c:v>
                </c:pt>
                <c:pt idx="284">
                  <c:v>1.6039926670895499</c:v>
                </c:pt>
                <c:pt idx="285">
                  <c:v>1.6042383292867399</c:v>
                </c:pt>
                <c:pt idx="286">
                  <c:v>1.60448502648741</c:v>
                </c:pt>
                <c:pt idx="287">
                  <c:v>1.60473276072044</c:v>
                </c:pt>
                <c:pt idx="288">
                  <c:v>1.6049815340261699</c:v>
                </c:pt>
                <c:pt idx="289">
                  <c:v>1.60523134845644</c:v>
                </c:pt>
                <c:pt idx="290">
                  <c:v>1.6054822060746501</c:v>
                </c:pt>
                <c:pt idx="291">
                  <c:v>1.6057341089558499</c:v>
                </c:pt>
                <c:pt idx="292">
                  <c:v>1.60598705918673</c:v>
                </c:pt>
                <c:pt idx="293">
                  <c:v>1.6062410588657601</c:v>
                </c:pt>
                <c:pt idx="294">
                  <c:v>1.60649611010319</c:v>
                </c:pt>
                <c:pt idx="295">
                  <c:v>1.60675221502114</c:v>
                </c:pt>
                <c:pt idx="296">
                  <c:v>1.6070093757536399</c:v>
                </c:pt>
                <c:pt idx="297">
                  <c:v>1.6072675944467001</c:v>
                </c:pt>
                <c:pt idx="298">
                  <c:v>1.6075268732584</c:v>
                </c:pt>
                <c:pt idx="299">
                  <c:v>1.60778721435889</c:v>
                </c:pt>
                <c:pt idx="300">
                  <c:v>1.60804861993051</c:v>
                </c:pt>
                <c:pt idx="301">
                  <c:v>1.6083110921678101</c:v>
                </c:pt>
                <c:pt idx="302">
                  <c:v>1.60857463327767</c:v>
                </c:pt>
                <c:pt idx="303">
                  <c:v>1.6088392454792699</c:v>
                </c:pt>
                <c:pt idx="304">
                  <c:v>1.60910493100427</c:v>
                </c:pt>
                <c:pt idx="305">
                  <c:v>1.60937169209677</c:v>
                </c:pt>
                <c:pt idx="306">
                  <c:v>1.6096395310134599</c:v>
                </c:pt>
                <c:pt idx="307">
                  <c:v>1.6099084500236001</c:v>
                </c:pt>
                <c:pt idx="308">
                  <c:v>1.6101784514091799</c:v>
                </c:pt>
                <c:pt idx="309">
                  <c:v>1.6104495374649199</c:v>
                </c:pt>
                <c:pt idx="310">
                  <c:v>1.61072171049834</c:v>
                </c:pt>
                <c:pt idx="311">
                  <c:v>1.61099497282987</c:v>
                </c:pt>
                <c:pt idx="312">
                  <c:v>1.6112693267928899</c:v>
                </c:pt>
                <c:pt idx="313">
                  <c:v>1.6115447747337901</c:v>
                </c:pt>
                <c:pt idx="314">
                  <c:v>1.6118213190120501</c:v>
                </c:pt>
                <c:pt idx="315">
                  <c:v>1.6120989620003401</c:v>
                </c:pt>
                <c:pt idx="316">
                  <c:v>1.6123777060845199</c:v>
                </c:pt>
                <c:pt idx="317">
                  <c:v>1.6126575536637799</c:v>
                </c:pt>
                <c:pt idx="318">
                  <c:v>1.6129385071506901</c:v>
                </c:pt>
                <c:pt idx="319">
                  <c:v>1.61322056897124</c:v>
                </c:pt>
                <c:pt idx="320">
                  <c:v>1.61350374156497</c:v>
                </c:pt>
                <c:pt idx="321">
                  <c:v>1.6137880273849801</c:v>
                </c:pt>
                <c:pt idx="322">
                  <c:v>1.61407342889808</c:v>
                </c:pt>
                <c:pt idx="323">
                  <c:v>1.6143599485847699</c:v>
                </c:pt>
                <c:pt idx="324">
                  <c:v>1.6146475889394101</c:v>
                </c:pt>
                <c:pt idx="325">
                  <c:v>1.61493635247023</c:v>
                </c:pt>
                <c:pt idx="326">
                  <c:v>1.6152262416994301</c:v>
                </c:pt>
                <c:pt idx="327">
                  <c:v>1.6155172591632601</c:v>
                </c:pt>
                <c:pt idx="328">
                  <c:v>1.6158094074120899</c:v>
                </c:pt>
                <c:pt idx="329">
                  <c:v>1.6161026890104899</c:v>
                </c:pt>
                <c:pt idx="330">
                  <c:v>1.6163971065373199</c:v>
                </c:pt>
                <c:pt idx="331">
                  <c:v>1.61669266258577</c:v>
                </c:pt>
                <c:pt idx="332">
                  <c:v>1.6169893597635101</c:v>
                </c:pt>
                <c:pt idx="333">
                  <c:v>1.6172872006926999</c:v>
                </c:pt>
                <c:pt idx="334">
                  <c:v>1.6175861880100999</c:v>
                </c:pt>
                <c:pt idx="335">
                  <c:v>1.61788632436716</c:v>
                </c:pt>
                <c:pt idx="336">
                  <c:v>1.61818761243011</c:v>
                </c:pt>
                <c:pt idx="337">
                  <c:v>1.6184900548800001</c:v>
                </c:pt>
                <c:pt idx="338">
                  <c:v>1.6187936544128301</c:v>
                </c:pt>
                <c:pt idx="339">
                  <c:v>1.6190984137396001</c:v>
                </c:pt>
                <c:pt idx="340">
                  <c:v>1.61940433558645</c:v>
                </c:pt>
                <c:pt idx="341">
                  <c:v>1.6197114226946601</c:v>
                </c:pt>
                <c:pt idx="342">
                  <c:v>1.62001967782081</c:v>
                </c:pt>
                <c:pt idx="343">
                  <c:v>1.6203291037368299</c:v>
                </c:pt>
                <c:pt idx="344">
                  <c:v>1.6206397032301201</c:v>
                </c:pt>
                <c:pt idx="345">
                  <c:v>1.6209514791035899</c:v>
                </c:pt>
                <c:pt idx="346">
                  <c:v>1.6212644341758</c:v>
                </c:pt>
                <c:pt idx="347">
                  <c:v>1.62157857128102</c:v>
                </c:pt>
                <c:pt idx="348">
                  <c:v>1.6218938932693201</c:v>
                </c:pt>
                <c:pt idx="349">
                  <c:v>1.62221040300668</c:v>
                </c:pt>
                <c:pt idx="350">
                  <c:v>1.62252810337507</c:v>
                </c:pt>
                <c:pt idx="351">
                  <c:v>1.6228469972725399</c:v>
                </c:pt>
                <c:pt idx="352">
                  <c:v>1.62316708761333</c:v>
                </c:pt>
                <c:pt idx="353">
                  <c:v>1.62348837732795</c:v>
                </c:pt>
                <c:pt idx="354">
                  <c:v>1.62381086936327</c:v>
                </c:pt>
                <c:pt idx="355">
                  <c:v>1.6241345666826299</c:v>
                </c:pt>
                <c:pt idx="356">
                  <c:v>1.62445947226594</c:v>
                </c:pt>
                <c:pt idx="357">
                  <c:v>1.62478558910976</c:v>
                </c:pt>
                <c:pt idx="358">
                  <c:v>1.6251129202274199</c:v>
                </c:pt>
                <c:pt idx="359">
                  <c:v>1.6254414686490799</c:v>
                </c:pt>
                <c:pt idx="360">
                  <c:v>1.62577123742189</c:v>
                </c:pt>
                <c:pt idx="361">
                  <c:v>1.62610222961004</c:v>
                </c:pt>
                <c:pt idx="362">
                  <c:v>1.62643444829489</c:v>
                </c:pt>
                <c:pt idx="363">
                  <c:v>1.6267678965750501</c:v>
                </c:pt>
                <c:pt idx="364">
                  <c:v>1.62710257756652</c:v>
                </c:pt>
                <c:pt idx="365">
                  <c:v>1.62743849440273</c:v>
                </c:pt>
                <c:pt idx="366">
                  <c:v>1.62777565023473</c:v>
                </c:pt>
                <c:pt idx="367">
                  <c:v>1.62811404823122</c:v>
                </c:pt>
                <c:pt idx="368">
                  <c:v>1.62845369157871</c:v>
                </c:pt>
                <c:pt idx="369">
                  <c:v>1.62879458348159</c:v>
                </c:pt>
                <c:pt idx="370">
                  <c:v>1.6291367271622601</c:v>
                </c:pt>
                <c:pt idx="371">
                  <c:v>1.6294801258612399</c:v>
                </c:pt>
                <c:pt idx="372">
                  <c:v>1.6298247828372601</c:v>
                </c:pt>
                <c:pt idx="373">
                  <c:v>1.6301707013674001</c:v>
                </c:pt>
                <c:pt idx="374">
                  <c:v>1.6305178847471899</c:v>
                </c:pt>
                <c:pt idx="375">
                  <c:v>1.6308663362907101</c:v>
                </c:pt>
                <c:pt idx="376">
                  <c:v>1.6312160593307301</c:v>
                </c:pt>
                <c:pt idx="377">
                  <c:v>1.6315670572187899</c:v>
                </c:pt>
                <c:pt idx="378">
                  <c:v>1.6319193333253601</c:v>
                </c:pt>
                <c:pt idx="379">
                  <c:v>1.63227289103991</c:v>
                </c:pt>
                <c:pt idx="380">
                  <c:v>1.6326277337710799</c:v>
                </c:pt>
                <c:pt idx="381">
                  <c:v>1.6329838649467501</c:v>
                </c:pt>
                <c:pt idx="382">
                  <c:v>1.63334128801419</c:v>
                </c:pt>
                <c:pt idx="383">
                  <c:v>1.6337000064401599</c:v>
                </c:pt>
                <c:pt idx="384">
                  <c:v>1.6340600237110701</c:v>
                </c:pt>
                <c:pt idx="385">
                  <c:v>1.6344213433330399</c:v>
                </c:pt>
                <c:pt idx="386">
                  <c:v>1.6347839688321</c:v>
                </c:pt>
                <c:pt idx="387">
                  <c:v>1.63514790375424</c:v>
                </c:pt>
                <c:pt idx="388">
                  <c:v>1.6355131516656101</c:v>
                </c:pt>
                <c:pt idx="389">
                  <c:v>1.63587971615257</c:v>
                </c:pt>
                <c:pt idx="390">
                  <c:v>1.6362476008219</c:v>
                </c:pt>
                <c:pt idx="391">
                  <c:v>1.63661680930085</c:v>
                </c:pt>
                <c:pt idx="392">
                  <c:v>1.63698734523732</c:v>
                </c:pt>
                <c:pt idx="393">
                  <c:v>1.6373592123</c:v>
                </c:pt>
                <c:pt idx="394">
                  <c:v>1.6377324141784599</c:v>
                </c:pt>
                <c:pt idx="395">
                  <c:v>1.6381069545833</c:v>
                </c:pt>
                <c:pt idx="396">
                  <c:v>1.63848283724632</c:v>
                </c:pt>
                <c:pt idx="397">
                  <c:v>1.6388600659206101</c:v>
                </c:pt>
                <c:pt idx="398">
                  <c:v>1.6392386443807001</c:v>
                </c:pt>
                <c:pt idx="399">
                  <c:v>1.63961857642272</c:v>
                </c:pt>
                <c:pt idx="400">
                  <c:v>1.6399998658645101</c:v>
                </c:pt>
                <c:pt idx="401">
                  <c:v>1.6403825165457699</c:v>
                </c:pt>
                <c:pt idx="402">
                  <c:v>1.6407665323282199</c:v>
                </c:pt>
                <c:pt idx="403">
                  <c:v>1.6411519170957301</c:v>
                </c:pt>
                <c:pt idx="404">
                  <c:v>1.64153867475446</c:v>
                </c:pt>
                <c:pt idx="405">
                  <c:v>1.6419268092329999</c:v>
                </c:pt>
                <c:pt idx="406">
                  <c:v>1.64231632448255</c:v>
                </c:pt>
                <c:pt idx="407">
                  <c:v>1.64270722447701</c:v>
                </c:pt>
                <c:pt idx="408">
                  <c:v>1.64309951321322</c:v>
                </c:pt>
                <c:pt idx="409">
                  <c:v>1.6434931947110001</c:v>
                </c:pt>
                <c:pt idx="410">
                  <c:v>1.6438882730133899</c:v>
                </c:pt>
                <c:pt idx="411">
                  <c:v>1.6442847521867701</c:v>
                </c:pt>
                <c:pt idx="412">
                  <c:v>1.6446826363210201</c:v>
                </c:pt>
                <c:pt idx="413">
                  <c:v>1.6450819295296599</c:v>
                </c:pt>
                <c:pt idx="414">
                  <c:v>1.6454826359500401</c:v>
                </c:pt>
                <c:pt idx="415">
                  <c:v>1.64588475974346</c:v>
                </c:pt>
                <c:pt idx="416">
                  <c:v>1.6462883050953601</c:v>
                </c:pt>
                <c:pt idx="417">
                  <c:v>1.64669327621549</c:v>
                </c:pt>
                <c:pt idx="418">
                  <c:v>1.64709967733803</c:v>
                </c:pt>
                <c:pt idx="419">
                  <c:v>1.6475075127218</c:v>
                </c:pt>
                <c:pt idx="420">
                  <c:v>1.6479167866503901</c:v>
                </c:pt>
                <c:pt idx="421">
                  <c:v>1.6483275034323801</c:v>
                </c:pt>
                <c:pt idx="422">
                  <c:v>1.6487396674014301</c:v>
                </c:pt>
                <c:pt idx="423">
                  <c:v>1.6491532829165201</c:v>
                </c:pt>
                <c:pt idx="424">
                  <c:v>1.6495683543621</c:v>
                </c:pt>
                <c:pt idx="425">
                  <c:v>1.64998488614826</c:v>
                </c:pt>
                <c:pt idx="426">
                  <c:v>1.6504028827108901</c:v>
                </c:pt>
                <c:pt idx="427">
                  <c:v>1.6508223485119</c:v>
                </c:pt>
                <c:pt idx="428">
                  <c:v>1.65124328803934</c:v>
                </c:pt>
                <c:pt idx="429">
                  <c:v>1.65166570580765</c:v>
                </c:pt>
                <c:pt idx="430">
                  <c:v>1.6520896063577699</c:v>
                </c:pt>
                <c:pt idx="431">
                  <c:v>1.65251499425737</c:v>
                </c:pt>
                <c:pt idx="432">
                  <c:v>1.65294187410104</c:v>
                </c:pt>
                <c:pt idx="433">
                  <c:v>1.65337025051042</c:v>
                </c:pt>
                <c:pt idx="434">
                  <c:v>1.6538001281344601</c:v>
                </c:pt>
                <c:pt idx="435">
                  <c:v>1.6542315116495701</c:v>
                </c:pt>
                <c:pt idx="436">
                  <c:v>1.6546644057598101</c:v>
                </c:pt>
                <c:pt idx="437">
                  <c:v>1.6550988151971</c:v>
                </c:pt>
                <c:pt idx="438">
                  <c:v>1.6555347447214099</c:v>
                </c:pt>
                <c:pt idx="439">
                  <c:v>1.65597219912094</c:v>
                </c:pt>
                <c:pt idx="440">
                  <c:v>1.65641118321235</c:v>
                </c:pt>
                <c:pt idx="441">
                  <c:v>1.6568517018409299</c:v>
                </c:pt>
                <c:pt idx="442">
                  <c:v>1.6572937598808399</c:v>
                </c:pt>
                <c:pt idx="443">
                  <c:v>1.65773736223526</c:v>
                </c:pt>
                <c:pt idx="444">
                  <c:v>1.6581825138366599</c:v>
                </c:pt>
                <c:pt idx="445">
                  <c:v>1.6586292196469501</c:v>
                </c:pt>
                <c:pt idx="446">
                  <c:v>1.6590774846577201</c:v>
                </c:pt>
                <c:pt idx="447">
                  <c:v>1.65952731389046</c:v>
                </c:pt>
                <c:pt idx="448">
                  <c:v>1.65997871239675</c:v>
                </c:pt>
                <c:pt idx="449">
                  <c:v>1.6604316852584899</c:v>
                </c:pt>
                <c:pt idx="450">
                  <c:v>1.6608862375881199</c:v>
                </c:pt>
                <c:pt idx="451">
                  <c:v>1.66134237452884</c:v>
                </c:pt>
                <c:pt idx="452">
                  <c:v>1.6618001012548</c:v>
                </c:pt>
                <c:pt idx="453">
                  <c:v>1.6622594229713801</c:v>
                </c:pt>
                <c:pt idx="454">
                  <c:v>1.66272034491538</c:v>
                </c:pt>
                <c:pt idx="455">
                  <c:v>1.66318287235525</c:v>
                </c:pt>
                <c:pt idx="456">
                  <c:v>1.6636470105913299</c:v>
                </c:pt>
                <c:pt idx="457">
                  <c:v>1.6641127649560901</c:v>
                </c:pt>
                <c:pt idx="458">
                  <c:v>1.6645801408143299</c:v>
                </c:pt>
                <c:pt idx="459">
                  <c:v>1.66504914356347</c:v>
                </c:pt>
                <c:pt idx="460">
                  <c:v>1.6655197786337199</c:v>
                </c:pt>
                <c:pt idx="461">
                  <c:v>1.6659920514883999</c:v>
                </c:pt>
                <c:pt idx="462">
                  <c:v>1.66646596762413</c:v>
                </c:pt>
                <c:pt idx="463">
                  <c:v>1.6669415325710799</c:v>
                </c:pt>
                <c:pt idx="464">
                  <c:v>1.6674187518932599</c:v>
                </c:pt>
                <c:pt idx="465">
                  <c:v>1.6678976311886999</c:v>
                </c:pt>
                <c:pt idx="466">
                  <c:v>1.66837817608978</c:v>
                </c:pt>
                <c:pt idx="467">
                  <c:v>1.66886039226343</c:v>
                </c:pt>
                <c:pt idx="468">
                  <c:v>1.66934428541141</c:v>
                </c:pt>
                <c:pt idx="469">
                  <c:v>1.66982986127057</c:v>
                </c:pt>
                <c:pt idx="470">
                  <c:v>1.6703171256131</c:v>
                </c:pt>
                <c:pt idx="471">
                  <c:v>1.67080608424683</c:v>
                </c:pt>
                <c:pt idx="472">
                  <c:v>1.6712967430154599</c:v>
                </c:pt>
                <c:pt idx="473">
                  <c:v>1.6717891077988301</c:v>
                </c:pt>
                <c:pt idx="474">
                  <c:v>1.67228318451324</c:v>
                </c:pt>
                <c:pt idx="475">
                  <c:v>1.6727789791116701</c:v>
                </c:pt>
                <c:pt idx="476">
                  <c:v>1.6732764975840799</c:v>
                </c:pt>
                <c:pt idx="477">
                  <c:v>1.67377574595773</c:v>
                </c:pt>
                <c:pt idx="478">
                  <c:v>1.67427673029738</c:v>
                </c:pt>
                <c:pt idx="479">
                  <c:v>1.67477945670566</c:v>
                </c:pt>
                <c:pt idx="480">
                  <c:v>1.6752839313233101</c:v>
                </c:pt>
                <c:pt idx="481">
                  <c:v>1.67579016032949</c:v>
                </c:pt>
                <c:pt idx="482">
                  <c:v>1.6762981499420799</c:v>
                </c:pt>
                <c:pt idx="483">
                  <c:v>1.67680790641795</c:v>
                </c:pt>
                <c:pt idx="484">
                  <c:v>1.6773194360532999</c:v>
                </c:pt>
                <c:pt idx="485">
                  <c:v>1.6778327451839501</c:v>
                </c:pt>
                <c:pt idx="486">
                  <c:v>1.67834784018563</c:v>
                </c:pt>
                <c:pt idx="487">
                  <c:v>1.6788647274743</c:v>
                </c:pt>
                <c:pt idx="488">
                  <c:v>1.67938341350649</c:v>
                </c:pt>
                <c:pt idx="489">
                  <c:v>1.6799039047795801</c:v>
                </c:pt>
                <c:pt idx="490">
                  <c:v>1.6804262078321099</c:v>
                </c:pt>
                <c:pt idx="491">
                  <c:v>1.6809503292441701</c:v>
                </c:pt>
                <c:pt idx="492">
                  <c:v>1.68147627563765</c:v>
                </c:pt>
                <c:pt idx="493">
                  <c:v>1.6820040536766101</c:v>
                </c:pt>
                <c:pt idx="494">
                  <c:v>1.6825336700675999</c:v>
                </c:pt>
                <c:pt idx="495">
                  <c:v>1.68306513156</c:v>
                </c:pt>
                <c:pt idx="496">
                  <c:v>1.6835984449463599</c:v>
                </c:pt>
                <c:pt idx="497">
                  <c:v>1.6841336170627501</c:v>
                </c:pt>
                <c:pt idx="498">
                  <c:v>1.68467065478907</c:v>
                </c:pt>
                <c:pt idx="499">
                  <c:v>1.6852095650494601</c:v>
                </c:pt>
                <c:pt idx="500">
                  <c:v>1.6857503548125901</c:v>
                </c:pt>
                <c:pt idx="501">
                  <c:v>1.6862930310920701</c:v>
                </c:pt>
                <c:pt idx="502">
                  <c:v>1.68683760094678</c:v>
                </c:pt>
                <c:pt idx="503">
                  <c:v>1.68738407148123</c:v>
                </c:pt>
                <c:pt idx="504">
                  <c:v>1.68793244984594</c:v>
                </c:pt>
                <c:pt idx="505">
                  <c:v>1.68848274323783</c:v>
                </c:pt>
                <c:pt idx="506">
                  <c:v>1.68903495890057</c:v>
                </c:pt>
                <c:pt idx="507">
                  <c:v>1.68958910412494</c:v>
                </c:pt>
                <c:pt idx="508">
                  <c:v>1.69014518624926</c:v>
                </c:pt>
                <c:pt idx="509">
                  <c:v>1.6907032126597501</c:v>
                </c:pt>
                <c:pt idx="510">
                  <c:v>1.6912631907909399</c:v>
                </c:pt>
                <c:pt idx="511">
                  <c:v>1.6918251281260199</c:v>
                </c:pt>
                <c:pt idx="512">
                  <c:v>1.6923890321973001</c:v>
                </c:pt>
                <c:pt idx="513">
                  <c:v>1.69295491058657</c:v>
                </c:pt>
                <c:pt idx="514">
                  <c:v>1.6935227709255301</c:v>
                </c:pt>
                <c:pt idx="515">
                  <c:v>1.69409262089617</c:v>
                </c:pt>
                <c:pt idx="516">
                  <c:v>1.6946644682312499</c:v>
                </c:pt>
                <c:pt idx="517">
                  <c:v>1.69523832071464</c:v>
                </c:pt>
                <c:pt idx="518">
                  <c:v>1.6958141861818099</c:v>
                </c:pt>
                <c:pt idx="519">
                  <c:v>1.6963920725202299</c:v>
                </c:pt>
                <c:pt idx="520">
                  <c:v>1.69697198766979</c:v>
                </c:pt>
                <c:pt idx="521">
                  <c:v>1.6975539396232899</c:v>
                </c:pt>
                <c:pt idx="522">
                  <c:v>1.6981379364268201</c:v>
                </c:pt>
                <c:pt idx="523">
                  <c:v>1.6987239861802499</c:v>
                </c:pt>
                <c:pt idx="524">
                  <c:v>1.69931209703768</c:v>
                </c:pt>
                <c:pt idx="525">
                  <c:v>1.69990227720786</c:v>
                </c:pt>
                <c:pt idx="526">
                  <c:v>1.70049453495472</c:v>
                </c:pt>
                <c:pt idx="527">
                  <c:v>1.70108887859776</c:v>
                </c:pt>
                <c:pt idx="528">
                  <c:v>1.70168531651258</c:v>
                </c:pt>
                <c:pt idx="529">
                  <c:v>1.7022838571313399</c:v>
                </c:pt>
                <c:pt idx="530">
                  <c:v>1.7028845089432201</c:v>
                </c:pt>
                <c:pt idx="531">
                  <c:v>1.7034872804949499</c:v>
                </c:pt>
                <c:pt idx="532">
                  <c:v>1.7040921803912601</c:v>
                </c:pt>
                <c:pt idx="533">
                  <c:v>1.7046992172954301</c:v>
                </c:pt>
                <c:pt idx="534">
                  <c:v>1.7053083999297201</c:v>
                </c:pt>
                <c:pt idx="535">
                  <c:v>1.70591973707596</c:v>
                </c:pt>
                <c:pt idx="536">
                  <c:v>1.7065332375760001</c:v>
                </c:pt>
                <c:pt idx="537">
                  <c:v>1.7071489103322699</c:v>
                </c:pt>
                <c:pt idx="538">
                  <c:v>1.7077667643082901</c:v>
                </c:pt>
                <c:pt idx="539">
                  <c:v>1.7083868085292</c:v>
                </c:pt>
                <c:pt idx="540">
                  <c:v>1.70900905208231</c:v>
                </c:pt>
                <c:pt idx="541">
                  <c:v>1.70963350411764</c:v>
                </c:pt>
                <c:pt idx="542">
                  <c:v>1.71026017384845</c:v>
                </c:pt>
                <c:pt idx="543">
                  <c:v>1.71088907055183</c:v>
                </c:pt>
                <c:pt idx="544">
                  <c:v>1.7115202035692201</c:v>
                </c:pt>
                <c:pt idx="545">
                  <c:v>1.71215358230702</c:v>
                </c:pt>
                <c:pt idx="546">
                  <c:v>1.7127892162371401</c:v>
                </c:pt>
                <c:pt idx="547">
                  <c:v>1.7134271148975899</c:v>
                </c:pt>
                <c:pt idx="548">
                  <c:v>1.7140672878930601</c:v>
                </c:pt>
                <c:pt idx="549">
                  <c:v>1.71470974489551</c:v>
                </c:pt>
                <c:pt idx="550">
                  <c:v>1.7153544956447899</c:v>
                </c:pt>
                <c:pt idx="551">
                  <c:v>1.71600154994924</c:v>
                </c:pt>
                <c:pt idx="552">
                  <c:v>1.7166509176862801</c:v>
                </c:pt>
                <c:pt idx="553">
                  <c:v>1.7173026088030701</c:v>
                </c:pt>
                <c:pt idx="554">
                  <c:v>1.7179566333171099</c:v>
                </c:pt>
                <c:pt idx="555">
                  <c:v>1.7186130013168801</c:v>
                </c:pt>
                <c:pt idx="556">
                  <c:v>1.7192717229625001</c:v>
                </c:pt>
                <c:pt idx="557">
                  <c:v>1.7199328084863501</c:v>
                </c:pt>
                <c:pt idx="558">
                  <c:v>1.7205962681937701</c:v>
                </c:pt>
                <c:pt idx="559">
                  <c:v>1.72126211246366</c:v>
                </c:pt>
                <c:pt idx="560">
                  <c:v>1.7219303517492299</c:v>
                </c:pt>
                <c:pt idx="561">
                  <c:v>1.72260099657861</c:v>
                </c:pt>
                <c:pt idx="562">
                  <c:v>1.7232740575556</c:v>
                </c:pt>
                <c:pt idx="563">
                  <c:v>1.7239495453603</c:v>
                </c:pt>
                <c:pt idx="564">
                  <c:v>1.7246274707498701</c:v>
                </c:pt>
                <c:pt idx="565">
                  <c:v>1.72530784455922</c:v>
                </c:pt>
                <c:pt idx="566">
                  <c:v>1.72599067770174</c:v>
                </c:pt>
                <c:pt idx="567">
                  <c:v>1.7266759811700001</c:v>
                </c:pt>
                <c:pt idx="568">
                  <c:v>1.72736376603651</c:v>
                </c:pt>
                <c:pt idx="569">
                  <c:v>1.72805404345448</c:v>
                </c:pt>
                <c:pt idx="570">
                  <c:v>1.72874682465856</c:v>
                </c:pt>
                <c:pt idx="571">
                  <c:v>1.7294421209655799</c:v>
                </c:pt>
                <c:pt idx="572">
                  <c:v>1.73013994377536</c:v>
                </c:pt>
                <c:pt idx="573">
                  <c:v>1.73084030457147</c:v>
                </c:pt>
                <c:pt idx="574">
                  <c:v>1.73154321492204</c:v>
                </c:pt>
                <c:pt idx="575">
                  <c:v>1.73224868648053</c:v>
                </c:pt>
                <c:pt idx="576">
                  <c:v>1.7329567309865701</c:v>
                </c:pt>
                <c:pt idx="577">
                  <c:v>1.73366736026678</c:v>
                </c:pt>
                <c:pt idx="578">
                  <c:v>1.7343805862355499</c:v>
                </c:pt>
                <c:pt idx="579">
                  <c:v>1.7350964208959401</c:v>
                </c:pt>
                <c:pt idx="580">
                  <c:v>1.7358148763405199</c:v>
                </c:pt>
                <c:pt idx="581">
                  <c:v>1.7365359647521901</c:v>
                </c:pt>
                <c:pt idx="582">
                  <c:v>1.7372596984050801</c:v>
                </c:pt>
                <c:pt idx="583">
                  <c:v>1.73798608966543</c:v>
                </c:pt>
                <c:pt idx="584">
                  <c:v>1.7387151509924901</c:v>
                </c:pt>
                <c:pt idx="585">
                  <c:v>1.73944689493939</c:v>
                </c:pt>
                <c:pt idx="586">
                  <c:v>1.7401813341540699</c:v>
                </c:pt>
                <c:pt idx="587">
                  <c:v>1.7409184813802301</c:v>
                </c:pt>
                <c:pt idx="588">
                  <c:v>1.7416583494582101</c:v>
                </c:pt>
                <c:pt idx="589">
                  <c:v>1.7424009513260099</c:v>
                </c:pt>
                <c:pt idx="590">
                  <c:v>1.7431463000201599</c:v>
                </c:pt>
                <c:pt idx="591">
                  <c:v>1.74389440867678</c:v>
                </c:pt>
                <c:pt idx="592">
                  <c:v>1.7446452905324901</c:v>
                </c:pt>
                <c:pt idx="593">
                  <c:v>1.7453989589254499</c:v>
                </c:pt>
                <c:pt idx="594">
                  <c:v>1.74615542729635</c:v>
                </c:pt>
                <c:pt idx="595">
                  <c:v>1.7469147091894299</c:v>
                </c:pt>
                <c:pt idx="596">
                  <c:v>1.7476768182535201</c:v>
                </c:pt>
                <c:pt idx="597">
                  <c:v>1.74844176824307</c:v>
                </c:pt>
                <c:pt idx="598">
                  <c:v>1.7492095730192201</c:v>
                </c:pt>
                <c:pt idx="599">
                  <c:v>1.74998024655086</c:v>
                </c:pt>
                <c:pt idx="600">
                  <c:v>1.7507538029157499</c:v>
                </c:pt>
                <c:pt idx="601">
                  <c:v>1.75153025630156</c:v>
                </c:pt>
                <c:pt idx="602">
                  <c:v>1.7523096210070399</c:v>
                </c:pt>
                <c:pt idx="603">
                  <c:v>1.7530919114431001</c:v>
                </c:pt>
                <c:pt idx="604">
                  <c:v>1.753877142134</c:v>
                </c:pt>
                <c:pt idx="605">
                  <c:v>1.7546653277184601</c:v>
                </c:pt>
                <c:pt idx="606">
                  <c:v>1.7554564829508501</c:v>
                </c:pt>
                <c:pt idx="607">
                  <c:v>1.75625062270237</c:v>
                </c:pt>
                <c:pt idx="608">
                  <c:v>1.75704776196228</c:v>
                </c:pt>
                <c:pt idx="609">
                  <c:v>1.7578479158390601</c:v>
                </c:pt>
                <c:pt idx="610">
                  <c:v>1.7586510995617</c:v>
                </c:pt>
                <c:pt idx="611">
                  <c:v>1.7594573284809101</c:v>
                </c:pt>
                <c:pt idx="612">
                  <c:v>1.7602666180703801</c:v>
                </c:pt>
                <c:pt idx="613">
                  <c:v>1.7610789839281</c:v>
                </c:pt>
                <c:pt idx="614">
                  <c:v>1.7618944417776301</c:v>
                </c:pt>
                <c:pt idx="615">
                  <c:v>1.7627130074694</c:v>
                </c:pt>
                <c:pt idx="616">
                  <c:v>1.76353469698208</c:v>
                </c:pt>
                <c:pt idx="617">
                  <c:v>1.7643595264239</c:v>
                </c:pt>
                <c:pt idx="618">
                  <c:v>1.7651875120340199</c:v>
                </c:pt>
                <c:pt idx="619">
                  <c:v>1.76601867018392</c:v>
                </c:pt>
                <c:pt idx="620">
                  <c:v>1.7668530173788</c:v>
                </c:pt>
                <c:pt idx="621">
                  <c:v>1.76769057025903</c:v>
                </c:pt>
                <c:pt idx="622">
                  <c:v>1.7685313456015299</c:v>
                </c:pt>
                <c:pt idx="623">
                  <c:v>1.7693753603212701</c:v>
                </c:pt>
                <c:pt idx="624">
                  <c:v>1.77022263147278</c:v>
                </c:pt>
                <c:pt idx="625">
                  <c:v>1.7710731762515799</c:v>
                </c:pt>
                <c:pt idx="626">
                  <c:v>1.77192701199573</c:v>
                </c:pt>
                <c:pt idx="627">
                  <c:v>1.77278415618741</c:v>
                </c:pt>
                <c:pt idx="628">
                  <c:v>1.7736446264543999</c:v>
                </c:pt>
                <c:pt idx="629">
                  <c:v>1.7745084405717499</c:v>
                </c:pt>
                <c:pt idx="630">
                  <c:v>1.7753756164633101</c:v>
                </c:pt>
                <c:pt idx="631">
                  <c:v>1.7762461722034</c:v>
                </c:pt>
                <c:pt idx="632">
                  <c:v>1.7771201260184399</c:v>
                </c:pt>
                <c:pt idx="633">
                  <c:v>1.77799749628863</c:v>
                </c:pt>
                <c:pt idx="634">
                  <c:v>1.7788783015496401</c:v>
                </c:pt>
                <c:pt idx="635">
                  <c:v>1.7797625604943099</c:v>
                </c:pt>
                <c:pt idx="636">
                  <c:v>1.78065029197442</c:v>
                </c:pt>
                <c:pt idx="637">
                  <c:v>1.7815415150024401</c:v>
                </c:pt>
                <c:pt idx="638">
                  <c:v>1.7824362487533201</c:v>
                </c:pt>
                <c:pt idx="639">
                  <c:v>1.7833345125662901</c:v>
                </c:pt>
                <c:pt idx="640">
                  <c:v>1.78423632594673</c:v>
                </c:pt>
                <c:pt idx="641">
                  <c:v>1.7851417085680199</c:v>
                </c:pt>
                <c:pt idx="642">
                  <c:v>1.7860506802734</c:v>
                </c:pt>
                <c:pt idx="643">
                  <c:v>1.78696326107796</c:v>
                </c:pt>
                <c:pt idx="644">
                  <c:v>1.7878794711705199</c:v>
                </c:pt>
                <c:pt idx="645">
                  <c:v>1.78879933091562</c:v>
                </c:pt>
                <c:pt idx="646">
                  <c:v>1.78972286085556</c:v>
                </c:pt>
                <c:pt idx="647">
                  <c:v>1.7906500817123501</c:v>
                </c:pt>
                <c:pt idx="648">
                  <c:v>1.7915810143898601</c:v>
                </c:pt>
                <c:pt idx="649">
                  <c:v>1.7925156799758399</c:v>
                </c:pt>
                <c:pt idx="650">
                  <c:v>1.79345409974406</c:v>
                </c:pt>
                <c:pt idx="651">
                  <c:v>1.79439629515648</c:v>
                </c:pt>
                <c:pt idx="652">
                  <c:v>1.79534228786538</c:v>
                </c:pt>
                <c:pt idx="653">
                  <c:v>1.79629209971563</c:v>
                </c:pt>
                <c:pt idx="654">
                  <c:v>1.7972457527468899</c:v>
                </c:pt>
                <c:pt idx="655">
                  <c:v>1.79820326919589</c:v>
                </c:pt>
                <c:pt idx="656">
                  <c:v>1.7991646714987799</c:v>
                </c:pt>
                <c:pt idx="657">
                  <c:v>1.80012998229342</c:v>
                </c:pt>
                <c:pt idx="658">
                  <c:v>1.8010992244217801</c:v>
                </c:pt>
                <c:pt idx="659">
                  <c:v>1.80207242093237</c:v>
                </c:pt>
                <c:pt idx="660">
                  <c:v>1.8030495950826499</c:v>
                </c:pt>
                <c:pt idx="661">
                  <c:v>1.8040307703415699</c:v>
                </c:pt>
                <c:pt idx="662">
                  <c:v>1.8050159703920201</c:v>
                </c:pt>
                <c:pt idx="663">
                  <c:v>1.8060052191334599</c:v>
                </c:pt>
                <c:pt idx="664">
                  <c:v>1.80699854068447</c:v>
                </c:pt>
                <c:pt idx="665">
                  <c:v>1.80799595938542</c:v>
                </c:pt>
                <c:pt idx="666">
                  <c:v>1.80899749980109</c:v>
                </c:pt>
                <c:pt idx="667">
                  <c:v>1.81000318672348</c:v>
                </c:pt>
                <c:pt idx="668">
                  <c:v>1.8110130451744799</c:v>
                </c:pt>
                <c:pt idx="669">
                  <c:v>1.8120271004087101</c:v>
                </c:pt>
                <c:pt idx="670">
                  <c:v>1.81304537791636</c:v>
                </c:pt>
                <c:pt idx="671">
                  <c:v>1.81406790342608</c:v>
                </c:pt>
                <c:pt idx="672">
                  <c:v>1.8150947029079001</c:v>
                </c:pt>
                <c:pt idx="673">
                  <c:v>1.8161258025762099</c:v>
                </c:pt>
                <c:pt idx="674">
                  <c:v>1.8171612288927701</c:v>
                </c:pt>
                <c:pt idx="675">
                  <c:v>1.8182010085697999</c:v>
                </c:pt>
                <c:pt idx="676">
                  <c:v>1.8192451685730799</c:v>
                </c:pt>
                <c:pt idx="677">
                  <c:v>1.8202937361251299</c:v>
                </c:pt>
                <c:pt idx="678">
                  <c:v>1.8213467387083899</c:v>
                </c:pt>
                <c:pt idx="679">
                  <c:v>1.82240420406853</c:v>
                </c:pt>
                <c:pt idx="680">
                  <c:v>1.82346616021773</c:v>
                </c:pt>
                <c:pt idx="681">
                  <c:v>1.82453263543806</c:v>
                </c:pt>
                <c:pt idx="682">
                  <c:v>1.8256036582849</c:v>
                </c:pt>
                <c:pt idx="683">
                  <c:v>1.8266792575904001</c:v>
                </c:pt>
                <c:pt idx="684">
                  <c:v>1.8277594624670599</c:v>
                </c:pt>
                <c:pt idx="685">
                  <c:v>1.8288443023112499</c:v>
                </c:pt>
                <c:pt idx="686">
                  <c:v>1.8299338068069</c:v>
                </c:pt>
                <c:pt idx="687">
                  <c:v>1.8310280059291799</c:v>
                </c:pt>
                <c:pt idx="688">
                  <c:v>1.8321269299482801</c:v>
                </c:pt>
                <c:pt idx="689">
                  <c:v>1.83323060943321</c:v>
                </c:pt>
                <c:pt idx="690">
                  <c:v>1.83433907525572</c:v>
                </c:pt>
                <c:pt idx="691">
                  <c:v>1.8354523585942</c:v>
                </c:pt>
                <c:pt idx="692">
                  <c:v>1.8365704909377301</c:v>
                </c:pt>
                <c:pt idx="693">
                  <c:v>1.8376935040901601</c:v>
                </c:pt>
                <c:pt idx="694">
                  <c:v>1.8388214301742201</c:v>
                </c:pt>
                <c:pt idx="695">
                  <c:v>1.83995430163577</c:v>
                </c:pt>
                <c:pt idx="696">
                  <c:v>1.84109215124807</c:v>
                </c:pt>
                <c:pt idx="697">
                  <c:v>1.8422350121161299</c:v>
                </c:pt>
                <c:pt idx="698">
                  <c:v>1.8433829176811301</c:v>
                </c:pt>
                <c:pt idx="699">
                  <c:v>1.8445359017249501</c:v>
                </c:pt>
                <c:pt idx="700">
                  <c:v>1.84569399837472</c:v>
                </c:pt>
                <c:pt idx="701">
                  <c:v>1.84685724210747</c:v>
                </c:pt>
                <c:pt idx="702">
                  <c:v>1.8480256677548701</c:v>
                </c:pt>
                <c:pt idx="703">
                  <c:v>1.84919931050807</c:v>
                </c:pt>
                <c:pt idx="704">
                  <c:v>1.85037820592253</c:v>
                </c:pt>
                <c:pt idx="705">
                  <c:v>1.85156238992306</c:v>
                </c:pt>
                <c:pt idx="706">
                  <c:v>1.8527518988088301</c:v>
                </c:pt>
                <c:pt idx="707">
                  <c:v>1.85394676925857</c:v>
                </c:pt>
                <c:pt idx="708">
                  <c:v>1.85514703833574</c:v>
                </c:pt>
                <c:pt idx="709">
                  <c:v>1.85635274349393</c:v>
                </c:pt>
                <c:pt idx="710">
                  <c:v>1.85756392258222</c:v>
                </c:pt>
                <c:pt idx="711">
                  <c:v>1.8587806138507501</c:v>
                </c:pt>
                <c:pt idx="712">
                  <c:v>1.86000285595626</c:v>
                </c:pt>
                <c:pt idx="713">
                  <c:v>1.8612306879678699</c:v>
                </c:pt>
                <c:pt idx="714">
                  <c:v>1.86246414937282</c:v>
                </c:pt>
                <c:pt idx="715">
                  <c:v>1.86370328008246</c:v>
                </c:pt>
                <c:pt idx="716">
                  <c:v>1.8649481204381899</c:v>
                </c:pt>
                <c:pt idx="717">
                  <c:v>1.8661987112175999</c:v>
                </c:pt>
                <c:pt idx="718">
                  <c:v>1.8674550936407599</c:v>
                </c:pt>
                <c:pt idx="719">
                  <c:v>1.86871730937648</c:v>
                </c:pt>
                <c:pt idx="720">
                  <c:v>1.8699854005487999</c:v>
                </c:pt>
                <c:pt idx="721">
                  <c:v>1.87125940974359</c:v>
                </c:pt>
                <c:pt idx="722">
                  <c:v>1.8725393800151899</c:v>
                </c:pt>
                <c:pt idx="723">
                  <c:v>1.87382535489326</c:v>
                </c:pt>
                <c:pt idx="724">
                  <c:v>1.8751173783897099</c:v>
                </c:pt>
                <c:pt idx="725">
                  <c:v>1.8764154950057399</c:v>
                </c:pt>
                <c:pt idx="726">
                  <c:v>1.8777197497390701</c:v>
                </c:pt>
                <c:pt idx="727">
                  <c:v>1.8790301880912299</c:v>
                </c:pt>
                <c:pt idx="728">
                  <c:v>1.88034685607503</c:v>
                </c:pt>
                <c:pt idx="729">
                  <c:v>1.8816698002221699</c:v>
                </c:pt>
                <c:pt idx="730">
                  <c:v>1.88299906759097</c:v>
                </c:pt>
                <c:pt idx="731">
                  <c:v>1.8843347057742601</c:v>
                </c:pt>
                <c:pt idx="732">
                  <c:v>1.8856767629074001</c:v>
                </c:pt>
                <c:pt idx="733">
                  <c:v>1.8870252876764699</c:v>
                </c:pt>
                <c:pt idx="734">
                  <c:v>1.8883803293265999</c:v>
                </c:pt>
                <c:pt idx="735">
                  <c:v>1.88974193767049</c:v>
                </c:pt>
                <c:pt idx="736">
                  <c:v>1.89111016309703</c:v>
                </c:pt>
                <c:pt idx="737">
                  <c:v>1.8924850565801401</c:v>
                </c:pt>
                <c:pt idx="738">
                  <c:v>1.89386666968777</c:v>
                </c:pt>
                <c:pt idx="739">
                  <c:v>1.89525505459105</c:v>
                </c:pt>
                <c:pt idx="740">
                  <c:v>1.89665026407362</c:v>
                </c:pt>
                <c:pt idx="741">
                  <c:v>1.89805235154119</c:v>
                </c:pt>
                <c:pt idx="742">
                  <c:v>1.8994613710311901</c:v>
                </c:pt>
                <c:pt idx="743">
                  <c:v>1.9008773772227401</c:v>
                </c:pt>
                <c:pt idx="744">
                  <c:v>1.90230042544665</c:v>
                </c:pt>
                <c:pt idx="745">
                  <c:v>1.9037305716958</c:v>
                </c:pt>
                <c:pt idx="746">
                  <c:v>1.9051678726355701</c:v>
                </c:pt>
                <c:pt idx="747">
                  <c:v>1.90661238561455</c:v>
                </c:pt>
                <c:pt idx="748">
                  <c:v>1.90806416867548</c:v>
                </c:pt>
                <c:pt idx="749">
                  <c:v>1.90952328056637</c:v>
                </c:pt>
                <c:pt idx="750">
                  <c:v>1.9109897807518199</c:v>
                </c:pt>
                <c:pt idx="751">
                  <c:v>1.91246372942467</c:v>
                </c:pt>
                <c:pt idx="752">
                  <c:v>1.91394518751775</c:v>
                </c:pt>
                <c:pt idx="753">
                  <c:v>1.9154342167159999</c:v>
                </c:pt>
                <c:pt idx="754">
                  <c:v>1.9169308794687101</c:v>
                </c:pt>
                <c:pt idx="755">
                  <c:v>1.91843523900213</c:v>
                </c:pt>
                <c:pt idx="756">
                  <c:v>1.91994735933227</c:v>
                </c:pt>
                <c:pt idx="757">
                  <c:v>1.9214673052779701</c:v>
                </c:pt>
                <c:pt idx="758">
                  <c:v>1.92299514247424</c:v>
                </c:pt>
                <c:pt idx="759">
                  <c:v>1.9245309373859201</c:v>
                </c:pt>
                <c:pt idx="760">
                  <c:v>1.92607475732156</c:v>
                </c:pt>
                <c:pt idx="761">
                  <c:v>1.9276266704476399</c:v>
                </c:pt>
                <c:pt idx="762">
                  <c:v>1.92918674580308</c:v>
                </c:pt>
                <c:pt idx="763">
                  <c:v>1.9307550533140501</c:v>
                </c:pt>
                <c:pt idx="764">
                  <c:v>1.9323316638090799</c:v>
                </c:pt>
                <c:pt idx="765">
                  <c:v>1.9339166490345101</c:v>
                </c:pt>
                <c:pt idx="766">
                  <c:v>1.9355100816702999</c:v>
                </c:pt>
                <c:pt idx="767">
                  <c:v>1.93711203534612</c:v>
                </c:pt>
                <c:pt idx="768">
                  <c:v>1.93872258465783</c:v>
                </c:pt>
                <c:pt idx="769">
                  <c:v>1.94034180518428</c:v>
                </c:pt>
                <c:pt idx="770">
                  <c:v>1.94196977350457</c:v>
                </c:pt>
                <c:pt idx="771">
                  <c:v>1.94360656721553</c:v>
                </c:pt>
                <c:pt idx="772">
                  <c:v>1.9452522649497499</c:v>
                </c:pt>
                <c:pt idx="773">
                  <c:v>1.94690694639388</c:v>
                </c:pt>
                <c:pt idx="774">
                  <c:v>1.94857069230743</c:v>
                </c:pt>
                <c:pt idx="775">
                  <c:v>1.9502435845419099</c:v>
                </c:pt>
                <c:pt idx="776">
                  <c:v>1.95192570606047</c:v>
                </c:pt>
                <c:pt idx="777">
                  <c:v>1.9536171409579199</c:v>
                </c:pt>
                <c:pt idx="778">
                  <c:v>1.9553179744812501</c:v>
                </c:pt>
                <c:pt idx="779">
                  <c:v>1.95702829305059</c:v>
                </c:pt>
                <c:pt idx="780">
                  <c:v>1.95874818428066</c:v>
                </c:pt>
                <c:pt idx="781">
                  <c:v>1.96047773700266</c:v>
                </c:pt>
                <c:pt idx="782">
                  <c:v>1.9622170412867901</c:v>
                </c:pt>
                <c:pt idx="783">
                  <c:v>1.96396618846513</c:v>
                </c:pt>
                <c:pt idx="784">
                  <c:v>1.96572527115516</c:v>
                </c:pt>
                <c:pt idx="785">
                  <c:v>1.9674943832838201</c:v>
                </c:pt>
                <c:pt idx="786">
                  <c:v>1.96927362011207</c:v>
                </c:pt>
                <c:pt idx="787">
                  <c:v>1.97106307826008</c:v>
                </c:pt>
                <c:pt idx="788">
                  <c:v>1.9728628557330199</c:v>
                </c:pt>
                <c:pt idx="789">
                  <c:v>1.97467305194746</c:v>
                </c:pt>
                <c:pt idx="790">
                  <c:v>1.9764937677583201</c:v>
                </c:pt>
                <c:pt idx="791">
                  <c:v>1.97832510548662</c:v>
                </c:pt>
                <c:pt idx="792">
                  <c:v>1.98016716894775</c:v>
                </c:pt>
                <c:pt idx="793">
                  <c:v>1.9820200634805001</c:v>
                </c:pt>
                <c:pt idx="794">
                  <c:v>1.9838838959768099</c:v>
                </c:pt>
                <c:pt idx="795">
                  <c:v>1.9857587749121901</c:v>
                </c:pt>
                <c:pt idx="796">
                  <c:v>1.98764481037691</c:v>
                </c:pt>
                <c:pt idx="797">
                  <c:v>1.9895421141080101</c:v>
                </c:pt>
                <c:pt idx="798">
                  <c:v>1.9914507995220201</c:v>
                </c:pt>
                <c:pt idx="799">
                  <c:v>1.9933709817485601</c:v>
                </c:pt>
                <c:pt idx="800">
                  <c:v>1.9953027776647201</c:v>
                </c:pt>
                <c:pt idx="801">
                  <c:v>1.99724630593042</c:v>
                </c:pt>
                <c:pt idx="802">
                  <c:v>1.99920168702451</c:v>
                </c:pt>
                <c:pt idx="803">
                  <c:v>2.00116904328191</c:v>
                </c:pt>
                <c:pt idx="804">
                  <c:v>2.0031484989316302</c:v>
                </c:pt>
                <c:pt idx="805">
                  <c:v>2.0051401801358302</c:v>
                </c:pt>
                <c:pt idx="806">
                  <c:v>2.00714421502982</c:v>
                </c:pt>
                <c:pt idx="807">
                  <c:v>2.0091607337631299</c:v>
                </c:pt>
                <c:pt idx="808">
                  <c:v>2.0111898685416798</c:v>
                </c:pt>
                <c:pt idx="809">
                  <c:v>2.0132317536709801</c:v>
                </c:pt>
                <c:pt idx="810">
                  <c:v>2.0152865256005601</c:v>
                </c:pt>
                <c:pt idx="811">
                  <c:v>2.0173543229695201</c:v>
                </c:pt>
                <c:pt idx="812">
                  <c:v>2.0194352866532999</c:v>
                </c:pt>
                <c:pt idx="813">
                  <c:v>2.02152955981169</c:v>
                </c:pt>
                <c:pt idx="814">
                  <c:v>2.0236372879382101</c:v>
                </c:pt>
                <c:pt idx="815">
                  <c:v>2.02575861891071</c:v>
                </c:pt>
                <c:pt idx="816">
                  <c:v>2.0278937030434401</c:v>
                </c:pt>
                <c:pt idx="817">
                  <c:v>2.0300426931404698</c:v>
                </c:pt>
                <c:pt idx="818">
                  <c:v>2.0322057445506898</c:v>
                </c:pt>
                <c:pt idx="819">
                  <c:v>2.0343830152242099</c:v>
                </c:pt>
                <c:pt idx="820">
                  <c:v>2.0365746657703698</c:v>
                </c:pt>
                <c:pt idx="821">
                  <c:v>2.0387808595174199</c:v>
                </c:pt>
                <c:pt idx="822">
                  <c:v>2.0410017625738401</c:v>
                </c:pt>
                <c:pt idx="823">
                  <c:v>2.0432375438913599</c:v>
                </c:pt>
                <c:pt idx="824">
                  <c:v>2.0454883753298598</c:v>
                </c:pt>
                <c:pt idx="825">
                  <c:v>2.0477544317240199</c:v>
                </c:pt>
                <c:pt idx="826">
                  <c:v>2.0500358909519898</c:v>
                </c:pt>
                <c:pt idx="827">
                  <c:v>2.0523329340059702</c:v>
                </c:pt>
                <c:pt idx="828">
                  <c:v>2.05464574506491</c:v>
                </c:pt>
                <c:pt idx="829">
                  <c:v>2.0569745115692299</c:v>
                </c:pt>
                <c:pt idx="830">
                  <c:v>2.0593194242979198</c:v>
                </c:pt>
                <c:pt idx="831">
                  <c:v>2.0616806774477001</c:v>
                </c:pt>
                <c:pt idx="832">
                  <c:v>2.0640584687147401</c:v>
                </c:pt>
                <c:pt idx="833">
                  <c:v>2.0664529993787002</c:v>
                </c:pt>
                <c:pt idx="834">
                  <c:v>2.0688644743893598</c:v>
                </c:pt>
                <c:pt idx="835">
                  <c:v>2.0712931024558698</c:v>
                </c:pt>
                <c:pt idx="836">
                  <c:v>2.0737390961386799</c:v>
                </c:pt>
                <c:pt idx="837">
                  <c:v>2.07620267194438</c:v>
                </c:pt>
                <c:pt idx="838">
                  <c:v>2.0786840504233899</c:v>
                </c:pt>
                <c:pt idx="839">
                  <c:v>2.0811834562707001</c:v>
                </c:pt>
                <c:pt idx="840">
                  <c:v>2.08370111842981</c:v>
                </c:pt>
                <c:pt idx="841">
                  <c:v>2.0862372701998799</c:v>
                </c:pt>
                <c:pt idx="842">
                  <c:v>2.0887921493463</c:v>
                </c:pt>
                <c:pt idx="843">
                  <c:v>2.0913659982147901</c:v>
                </c:pt>
                <c:pt idx="844">
                  <c:v>2.0939590638491401</c:v>
                </c:pt>
                <c:pt idx="845">
                  <c:v>2.0965715981127699</c:v>
                </c:pt>
                <c:pt idx="846">
                  <c:v>2.0992038578141901</c:v>
                </c:pt>
                <c:pt idx="847">
                  <c:v>2.1018561048366702</c:v>
                </c:pt>
                <c:pt idx="848">
                  <c:v>2.1045286062720399</c:v>
                </c:pt>
                <c:pt idx="849">
                  <c:v>2.1072216345590098</c:v>
                </c:pt>
                <c:pt idx="850">
                  <c:v>2.1099354676261002</c:v>
                </c:pt>
                <c:pt idx="851">
                  <c:v>2.1126703890393101</c:v>
                </c:pt>
                <c:pt idx="852">
                  <c:v>2.1154266881548298</c:v>
                </c:pt>
                <c:pt idx="853">
                  <c:v>2.1182046602769602</c:v>
                </c:pt>
                <c:pt idx="854">
                  <c:v>2.12100460682134</c:v>
                </c:pt>
                <c:pt idx="855">
                  <c:v>2.1238268354839702</c:v>
                </c:pt>
                <c:pt idx="856">
                  <c:v>2.1266716604159099</c:v>
                </c:pt>
                <c:pt idx="857">
                  <c:v>2.1295394024042702</c:v>
                </c:pt>
                <c:pt idx="858">
                  <c:v>2.1324303890594298</c:v>
                </c:pt>
                <c:pt idx="859">
                  <c:v>2.1353449550089798</c:v>
                </c:pt>
                <c:pt idx="860">
                  <c:v>2.1382834420985399</c:v>
                </c:pt>
                <c:pt idx="861">
                  <c:v>2.1412461995998502</c:v>
                </c:pt>
                <c:pt idx="862">
                  <c:v>2.1442335844263298</c:v>
                </c:pt>
                <c:pt idx="863">
                  <c:v>2.1472459613565902</c:v>
                </c:pt>
                <c:pt idx="864">
                  <c:v>2.15028370326606</c:v>
                </c:pt>
                <c:pt idx="865">
                  <c:v>2.1533471913672901</c:v>
                </c:pt>
                <c:pt idx="866">
                  <c:v>2.1564368154591</c:v>
                </c:pt>
                <c:pt idx="867">
                  <c:v>2.15955297418523</c:v>
                </c:pt>
                <c:pt idx="868">
                  <c:v>2.1626960753026401</c:v>
                </c:pt>
                <c:pt idx="869">
                  <c:v>2.1658665359601601</c:v>
                </c:pt>
                <c:pt idx="870">
                  <c:v>2.1690647829877698</c:v>
                </c:pt>
                <c:pt idx="871">
                  <c:v>2.1722912531971299</c:v>
                </c:pt>
                <c:pt idx="872">
                  <c:v>2.1755463936938302</c:v>
                </c:pt>
                <c:pt idx="873">
                  <c:v>2.1788306622018698</c:v>
                </c:pt>
                <c:pt idx="874">
                  <c:v>2.1821445274011402</c:v>
                </c:pt>
                <c:pt idx="875">
                  <c:v>2.1854884692782202</c:v>
                </c:pt>
                <c:pt idx="876">
                  <c:v>2.1888629794914198</c:v>
                </c:pt>
                <c:pt idx="877">
                  <c:v>2.1922685617506099</c:v>
                </c:pt>
                <c:pt idx="878">
                  <c:v>2.1957057322126201</c:v>
                </c:pt>
                <c:pt idx="879">
                  <c:v>2.1991750198929201</c:v>
                </c:pt>
                <c:pt idx="880">
                  <c:v>2.2026769670944302</c:v>
                </c:pt>
                <c:pt idx="881">
                  <c:v>2.2062121298544302</c:v>
                </c:pt>
                <c:pt idx="882">
                  <c:v>2.2097810784102001</c:v>
                </c:pt>
                <c:pt idx="883">
                  <c:v>2.2133843976847301</c:v>
                </c:pt>
                <c:pt idx="884">
                  <c:v>2.21702268779315</c:v>
                </c:pt>
                <c:pt idx="885">
                  <c:v>2.2206965645712899</c:v>
                </c:pt>
                <c:pt idx="886">
                  <c:v>2.2244066601273098</c:v>
                </c:pt>
                <c:pt idx="887">
                  <c:v>2.2281536234177199</c:v>
                </c:pt>
                <c:pt idx="888">
                  <c:v>2.2319381208490601</c:v>
                </c:pt>
                <c:pt idx="889">
                  <c:v>2.2357608369066599</c:v>
                </c:pt>
                <c:pt idx="890">
                  <c:v>2.2396224748118998</c:v>
                </c:pt>
                <c:pt idx="891">
                  <c:v>2.2435237572096001</c:v>
                </c:pt>
                <c:pt idx="892">
                  <c:v>2.2474654268871301</c:v>
                </c:pt>
                <c:pt idx="893">
                  <c:v>2.2514482475270601</c:v>
                </c:pt>
                <c:pt idx="894">
                  <c:v>2.25547300449528</c:v>
                </c:pt>
                <c:pt idx="895">
                  <c:v>2.2595405056665498</c:v>
                </c:pt>
                <c:pt idx="896">
                  <c:v>2.2636515822896</c:v>
                </c:pt>
                <c:pt idx="897">
                  <c:v>2.2678070898942502</c:v>
                </c:pt>
                <c:pt idx="898">
                  <c:v>2.2720079092427499</c:v>
                </c:pt>
                <c:pt idx="899">
                  <c:v>2.2762549473282001</c:v>
                </c:pt>
                <c:pt idx="900">
                  <c:v>2.2805491384227699</c:v>
                </c:pt>
                <c:pt idx="901">
                  <c:v>2.28489144517863</c:v>
                </c:pt>
                <c:pt idx="902">
                  <c:v>2.2892828597850499</c:v>
                </c:pt>
                <c:pt idx="903">
                  <c:v>2.2937244051848298</c:v>
                </c:pt>
                <c:pt idx="904">
                  <c:v>2.2982171363540398</c:v>
                </c:pt>
                <c:pt idx="905">
                  <c:v>2.3027621416488402</c:v>
                </c:pt>
                <c:pt idx="906">
                  <c:v>2.3073605442237701</c:v>
                </c:pt>
                <c:pt idx="907">
                  <c:v>2.3120135035260501</c:v>
                </c:pt>
                <c:pt idx="908">
                  <c:v>2.3167222168708501</c:v>
                </c:pt>
                <c:pt idx="909">
                  <c:v>2.3214879211028299</c:v>
                </c:pt>
                <c:pt idx="910">
                  <c:v>2.3263118943497201</c:v>
                </c:pt>
                <c:pt idx="911">
                  <c:v>2.3311954578740299</c:v>
                </c:pt>
                <c:pt idx="912">
                  <c:v>2.3361399780297099</c:v>
                </c:pt>
                <c:pt idx="913">
                  <c:v>2.3411468683307302</c:v>
                </c:pt>
                <c:pt idx="914">
                  <c:v>2.3462175916396499</c:v>
                </c:pt>
                <c:pt idx="915">
                  <c:v>2.3513536624843598</c:v>
                </c:pt>
                <c:pt idx="916">
                  <c:v>2.3565566495122199</c:v>
                </c:pt>
                <c:pt idx="917">
                  <c:v>2.36182817809151</c:v>
                </c:pt>
                <c:pt idx="918">
                  <c:v>2.3671699330708198</c:v>
                </c:pt>
                <c:pt idx="919">
                  <c:v>2.3725836617081799</c:v>
                </c:pt>
                <c:pt idx="920">
                  <c:v>2.3780711767823899</c:v>
                </c:pt>
                <c:pt idx="921">
                  <c:v>2.3836343599005199</c:v>
                </c:pt>
                <c:pt idx="922">
                  <c:v>2.3892751650165001</c:v>
                </c:pt>
                <c:pt idx="923">
                  <c:v>2.39499562217715</c:v>
                </c:pt>
                <c:pt idx="924">
                  <c:v>2.40079784151358</c:v>
                </c:pt>
                <c:pt idx="925">
                  <c:v>2.40668401749741</c:v>
                </c:pt>
                <c:pt idx="926">
                  <c:v>2.4126564334832499</c:v>
                </c:pt>
                <c:pt idx="927">
                  <c:v>2.41871746656075</c:v>
                </c:pt>
                <c:pt idx="928">
                  <c:v>2.4248695927419899</c:v>
                </c:pt>
                <c:pt idx="929">
                  <c:v>2.43111539251223</c:v>
                </c:pt>
                <c:pt idx="930">
                  <c:v>2.43745755677514</c:v>
                </c:pt>
                <c:pt idx="931">
                  <c:v>2.4438988932265602</c:v>
                </c:pt>
                <c:pt idx="932">
                  <c:v>2.4504423331942999</c:v>
                </c:pt>
                <c:pt idx="933">
                  <c:v>2.4570909389855902</c:v>
                </c:pt>
                <c:pt idx="934">
                  <c:v>2.46384791178791</c:v>
                </c:pt>
                <c:pt idx="935">
                  <c:v>2.4707166001740699</c:v>
                </c:pt>
                <c:pt idx="936">
                  <c:v>2.47770050926778</c:v>
                </c:pt>
                <c:pt idx="937">
                  <c:v>2.4848033106320999</c:v>
                </c:pt>
                <c:pt idx="938">
                  <c:v>2.4920288529504999</c:v>
                </c:pt>
                <c:pt idx="939">
                  <c:v>2.4993811735775999</c:v>
                </c:pt>
                <c:pt idx="940">
                  <c:v>2.5068645110463299</c:v>
                </c:pt>
                <c:pt idx="941">
                  <c:v>2.51448331862774</c:v>
                </c:pt>
                <c:pt idx="942">
                  <c:v>2.5222422790518002</c:v>
                </c:pt>
                <c:pt idx="943">
                  <c:v>2.5301463205102901</c:v>
                </c:pt>
                <c:pt idx="944">
                  <c:v>2.5382006340782399</c:v>
                </c:pt>
                <c:pt idx="945">
                  <c:v>2.5464106927074202</c:v>
                </c:pt>
                <c:pt idx="946">
                  <c:v>2.5547822719650499</c:v>
                </c:pt>
                <c:pt idx="947">
                  <c:v>2.5633214727138198</c:v>
                </c:pt>
                <c:pt idx="948">
                  <c:v>2.5720347459553001</c:v>
                </c:pt>
                <c:pt idx="949">
                  <c:v>2.58092892008899</c:v>
                </c:pt>
                <c:pt idx="950">
                  <c:v>2.5900112308745</c:v>
                </c:pt>
                <c:pt idx="951">
                  <c:v>2.59928935442464</c:v>
                </c:pt>
                <c:pt idx="952">
                  <c:v>2.6087714436051401</c:v>
                </c:pt>
                <c:pt idx="953">
                  <c:v>2.6184661682714401</c:v>
                </c:pt>
                <c:pt idx="954">
                  <c:v>2.6283827598384399</c:v>
                </c:pt>
                <c:pt idx="955">
                  <c:v>2.6385310607551</c:v>
                </c:pt>
                <c:pt idx="956">
                  <c:v>2.6489215795460601</c:v>
                </c:pt>
                <c:pt idx="957">
                  <c:v>2.6595655521887802</c:v>
                </c:pt>
                <c:pt idx="958">
                  <c:v>2.6704750107219</c:v>
                </c:pt>
                <c:pt idx="959">
                  <c:v>2.6816628601311301</c:v>
                </c:pt>
                <c:pt idx="960">
                  <c:v>2.69314296474059</c:v>
                </c:pt>
                <c:pt idx="961">
                  <c:v>2.7049302455547499</c:v>
                </c:pt>
                <c:pt idx="962">
                  <c:v>2.7170407902597602</c:v>
                </c:pt>
                <c:pt idx="963">
                  <c:v>2.7294919779115601</c:v>
                </c:pt>
                <c:pt idx="964">
                  <c:v>2.7423026207279202</c:v>
                </c:pt>
                <c:pt idx="965">
                  <c:v>2.7554931258783801</c:v>
                </c:pt>
                <c:pt idx="966">
                  <c:v>2.7690856807537401</c:v>
                </c:pt>
                <c:pt idx="967">
                  <c:v>2.7831044659252999</c:v>
                </c:pt>
                <c:pt idx="968">
                  <c:v>2.7975759009115002</c:v>
                </c:pt>
                <c:pt idx="969">
                  <c:v>2.8125289290083102</c:v>
                </c:pt>
                <c:pt idx="970">
                  <c:v>2.8279953488768999</c:v>
                </c:pt>
                <c:pt idx="971">
                  <c:v>2.8440102024101002</c:v>
                </c:pt>
                <c:pt idx="972">
                  <c:v>2.8606122307400899</c:v>
                </c:pt>
                <c:pt idx="973">
                  <c:v>2.8778444132732401</c:v>
                </c:pt>
                <c:pt idx="974">
                  <c:v>2.8957546085747299</c:v>
                </c:pt>
                <c:pt idx="975">
                  <c:v>2.9143963210994399</c:v>
                </c:pt>
                <c:pt idx="976">
                  <c:v>2.93382962463102</c:v>
                </c:pt>
                <c:pt idx="977">
                  <c:v>2.9541222824967801</c:v>
                </c:pt>
                <c:pt idx="978">
                  <c:v>2.9753511171105198</c:v>
                </c:pt>
                <c:pt idx="979">
                  <c:v>2.9976036985323198</c:v>
                </c:pt>
                <c:pt idx="980">
                  <c:v>3.02098044557115</c:v>
                </c:pt>
                <c:pt idx="981">
                  <c:v>3.0455972665901698</c:v>
                </c:pt>
                <c:pt idx="982">
                  <c:v>3.07158891538392</c:v>
                </c:pt>
                <c:pt idx="983">
                  <c:v>3.0991133077931101</c:v>
                </c:pt>
                <c:pt idx="984">
                  <c:v>3.1283571491875102</c:v>
                </c:pt>
                <c:pt idx="985">
                  <c:v>3.1595433814766198</c:v>
                </c:pt>
                <c:pt idx="986">
                  <c:v>3.1929412045688301</c:v>
                </c:pt>
                <c:pt idx="987">
                  <c:v>3.2288798198953002</c:v>
                </c:pt>
                <c:pt idx="988">
                  <c:v>3.2677676886192799</c:v>
                </c:pt>
                <c:pt idx="989">
                  <c:v>3.3101201928779198</c:v>
                </c:pt>
                <c:pt idx="990">
                  <c:v>3.3566005233611902</c:v>
                </c:pt>
                <c:pt idx="991">
                  <c:v>3.4080821910947998</c:v>
                </c:pt>
                <c:pt idx="992">
                  <c:v>3.4657485255235998</c:v>
                </c:pt>
                <c:pt idx="993">
                  <c:v>3.5312589830524499</c:v>
                </c:pt>
                <c:pt idx="994">
                  <c:v>3.6070445634064798</c:v>
                </c:pt>
                <c:pt idx="995">
                  <c:v>3.6968750823937002</c:v>
                </c:pt>
                <c:pt idx="996">
                  <c:v>3.8070676764836899</c:v>
                </c:pt>
                <c:pt idx="997">
                  <c:v>3.9494678475237701</c:v>
                </c:pt>
                <c:pt idx="998">
                  <c:v>4.1506761595013604</c:v>
                </c:pt>
                <c:pt idx="999">
                  <c:v>4.4955963958421403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E8-4FAD-B944-9DF1F97C549B}"/>
            </c:ext>
          </c:extLst>
        </c:ser>
        <c:ser>
          <c:idx val="1"/>
          <c:order val="1"/>
          <c:tx>
            <c:strRef>
              <c:f>CompEllInt!$D$4</c:f>
              <c:strCache>
                <c:ptCount val="1"/>
                <c:pt idx="0">
                  <c:v>Approx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CompEllInt!$B$5:$B$1004</c:f>
              <c:numCache>
                <c:formatCode>General</c:formatCode>
                <c:ptCount val="100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</c:numCache>
            </c:numRef>
          </c:xVal>
          <c:yVal>
            <c:numRef>
              <c:f>CompEllInt!$D$5:$D$1004</c:f>
              <c:numCache>
                <c:formatCode>General</c:formatCode>
                <c:ptCount val="1000"/>
                <c:pt idx="0">
                  <c:v>1.5707963267948966</c:v>
                </c:pt>
                <c:pt idx="1">
                  <c:v>1.5707967194941992</c:v>
                </c:pt>
                <c:pt idx="2">
                  <c:v>1.5707978975947579</c:v>
                </c:pt>
                <c:pt idx="3">
                  <c:v>1.5707998611045244</c:v>
                </c:pt>
                <c:pt idx="4">
                  <c:v>1.5708026100367531</c:v>
                </c:pt>
                <c:pt idx="5">
                  <c:v>1.5708061444099999</c:v>
                </c:pt>
                <c:pt idx="6">
                  <c:v>1.5708104642481227</c:v>
                </c:pt>
                <c:pt idx="7">
                  <c:v>1.5708155695802826</c:v>
                </c:pt>
                <c:pt idx="8">
                  <c:v>1.5708214604409441</c:v>
                </c:pt>
                <c:pt idx="9">
                  <c:v>1.5708281368698764</c:v>
                </c:pt>
                <c:pt idx="10">
                  <c:v>1.5708355989121521</c:v>
                </c:pt>
                <c:pt idx="11">
                  <c:v>1.5708438466181518</c:v>
                </c:pt>
                <c:pt idx="12">
                  <c:v>1.5708528800435613</c:v>
                </c:pt>
                <c:pt idx="13">
                  <c:v>1.5708626992493757</c:v>
                </c:pt>
                <c:pt idx="14">
                  <c:v>1.5708733043018992</c:v>
                </c:pt>
                <c:pt idx="15">
                  <c:v>1.5708846952727464</c:v>
                </c:pt>
                <c:pt idx="16">
                  <c:v>1.5708968722388443</c:v>
                </c:pt>
                <c:pt idx="17">
                  <c:v>1.5709098352824349</c:v>
                </c:pt>
                <c:pt idx="18">
                  <c:v>1.5709235844910738</c:v>
                </c:pt>
                <c:pt idx="19">
                  <c:v>1.5709381199576358</c:v>
                </c:pt>
                <c:pt idx="20">
                  <c:v>1.5709534417803139</c:v>
                </c:pt>
                <c:pt idx="21">
                  <c:v>1.5709695500626235</c:v>
                </c:pt>
                <c:pt idx="22">
                  <c:v>1.5709864449134028</c:v>
                </c:pt>
                <c:pt idx="23">
                  <c:v>1.5710041264468162</c:v>
                </c:pt>
                <c:pt idx="24">
                  <c:v>1.5710225947823562</c:v>
                </c:pt>
                <c:pt idx="25">
                  <c:v>1.5710418500448462</c:v>
                </c:pt>
                <c:pt idx="26">
                  <c:v>1.5710618923644428</c:v>
                </c:pt>
                <c:pt idx="27">
                  <c:v>1.5710827218766386</c:v>
                </c:pt>
                <c:pt idx="28">
                  <c:v>1.5711043387222652</c:v>
                </c:pt>
                <c:pt idx="29">
                  <c:v>1.571126743047496</c:v>
                </c:pt>
                <c:pt idx="30">
                  <c:v>1.5711499350038487</c:v>
                </c:pt>
                <c:pt idx="31">
                  <c:v>1.5711739147481907</c:v>
                </c:pt>
                <c:pt idx="32">
                  <c:v>1.5711986824427384</c:v>
                </c:pt>
                <c:pt idx="33">
                  <c:v>1.5712242382550647</c:v>
                </c:pt>
                <c:pt idx="34">
                  <c:v>1.5712505823581002</c:v>
                </c:pt>
                <c:pt idx="35">
                  <c:v>1.5712777149301371</c:v>
                </c:pt>
                <c:pt idx="36">
                  <c:v>1.5713056361548334</c:v>
                </c:pt>
                <c:pt idx="37">
                  <c:v>1.5713343462212159</c:v>
                </c:pt>
                <c:pt idx="38">
                  <c:v>1.571363845323686</c:v>
                </c:pt>
                <c:pt idx="39">
                  <c:v>1.5713941336620212</c:v>
                </c:pt>
                <c:pt idx="40">
                  <c:v>1.5714252114413814</c:v>
                </c:pt>
                <c:pt idx="41">
                  <c:v>1.5714570788723123</c:v>
                </c:pt>
                <c:pt idx="42">
                  <c:v>1.5714897361707498</c:v>
                </c:pt>
                <c:pt idx="43">
                  <c:v>1.5715231835580248</c:v>
                </c:pt>
                <c:pt idx="44">
                  <c:v>1.5715574212608674</c:v>
                </c:pt>
                <c:pt idx="45">
                  <c:v>1.5715924495114117</c:v>
                </c:pt>
                <c:pt idx="46">
                  <c:v>1.5716282685472023</c:v>
                </c:pt>
                <c:pt idx="47">
                  <c:v>1.571664878611196</c:v>
                </c:pt>
                <c:pt idx="48">
                  <c:v>1.5717022799517699</c:v>
                </c:pt>
                <c:pt idx="49">
                  <c:v>1.571740472822726</c:v>
                </c:pt>
                <c:pt idx="50">
                  <c:v>1.5717794574832944</c:v>
                </c:pt>
                <c:pt idx="51">
                  <c:v>1.5718192341981423</c:v>
                </c:pt>
                <c:pt idx="52">
                  <c:v>1.5718598032373761</c:v>
                </c:pt>
                <c:pt idx="53">
                  <c:v>1.5719011648765491</c:v>
                </c:pt>
                <c:pt idx="54">
                  <c:v>1.5719433193966676</c:v>
                </c:pt>
                <c:pt idx="55">
                  <c:v>1.5719862670841951</c:v>
                </c:pt>
                <c:pt idx="56">
                  <c:v>1.5720300082310597</c:v>
                </c:pt>
                <c:pt idx="57">
                  <c:v>1.5720745431346597</c:v>
                </c:pt>
                <c:pt idx="58">
                  <c:v>1.57211987209787</c:v>
                </c:pt>
                <c:pt idx="59">
                  <c:v>1.5721659954290483</c:v>
                </c:pt>
                <c:pt idx="60">
                  <c:v>1.5722129134420424</c:v>
                </c:pt>
                <c:pt idx="61">
                  <c:v>1.5722606264561956</c:v>
                </c:pt>
                <c:pt idx="62">
                  <c:v>1.5723091347963545</c:v>
                </c:pt>
                <c:pt idx="63">
                  <c:v>1.5723584387928746</c:v>
                </c:pt>
                <c:pt idx="64">
                  <c:v>1.5724085387816291</c:v>
                </c:pt>
                <c:pt idx="65">
                  <c:v>1.572459435104014</c:v>
                </c:pt>
                <c:pt idx="66">
                  <c:v>1.5725111281069575</c:v>
                </c:pt>
                <c:pt idx="67">
                  <c:v>1.5725636181429246</c:v>
                </c:pt>
                <c:pt idx="68">
                  <c:v>1.5726169055699275</c:v>
                </c:pt>
                <c:pt idx="69">
                  <c:v>1.5726709907515308</c:v>
                </c:pt>
                <c:pt idx="70">
                  <c:v>1.572725874056861</c:v>
                </c:pt>
                <c:pt idx="71">
                  <c:v>1.5727815558606129</c:v>
                </c:pt>
                <c:pt idx="72">
                  <c:v>1.5728380365430579</c:v>
                </c:pt>
                <c:pt idx="73">
                  <c:v>1.5728953164900534</c:v>
                </c:pt>
                <c:pt idx="74">
                  <c:v>1.5729533960930486</c:v>
                </c:pt>
                <c:pt idx="75">
                  <c:v>1.5730122757490954</c:v>
                </c:pt>
                <c:pt idx="76">
                  <c:v>1.5730719558608544</c:v>
                </c:pt>
                <c:pt idx="77">
                  <c:v>1.5731324368366053</c:v>
                </c:pt>
                <c:pt idx="78">
                  <c:v>1.5731937190902547</c:v>
                </c:pt>
                <c:pt idx="79">
                  <c:v>1.5732558030413455</c:v>
                </c:pt>
                <c:pt idx="80">
                  <c:v>1.5733186891150646</c:v>
                </c:pt>
                <c:pt idx="81">
                  <c:v>1.5733823777422533</c:v>
                </c:pt>
                <c:pt idx="82">
                  <c:v>1.5734468693594164</c:v>
                </c:pt>
                <c:pt idx="83">
                  <c:v>1.5735121644087304</c:v>
                </c:pt>
                <c:pt idx="84">
                  <c:v>1.5735782633380542</c:v>
                </c:pt>
                <c:pt idx="85">
                  <c:v>1.5736451666009377</c:v>
                </c:pt>
                <c:pt idx="86">
                  <c:v>1.573712874656632</c:v>
                </c:pt>
                <c:pt idx="87">
                  <c:v>1.5737813879700997</c:v>
                </c:pt>
                <c:pt idx="88">
                  <c:v>1.5738507070120231</c:v>
                </c:pt>
                <c:pt idx="89">
                  <c:v>1.5739208322588167</c:v>
                </c:pt>
                <c:pt idx="90">
                  <c:v>1.5739917641926353</c:v>
                </c:pt>
                <c:pt idx="91">
                  <c:v>1.5740635033013859</c:v>
                </c:pt>
                <c:pt idx="92">
                  <c:v>1.5741360500787369</c:v>
                </c:pt>
                <c:pt idx="93">
                  <c:v>1.5742094050241293</c:v>
                </c:pt>
                <c:pt idx="94">
                  <c:v>1.5742835686427878</c:v>
                </c:pt>
                <c:pt idx="95">
                  <c:v>1.5743585414457308</c:v>
                </c:pt>
                <c:pt idx="96">
                  <c:v>1.5744343239497824</c:v>
                </c:pt>
                <c:pt idx="97">
                  <c:v>1.5745109166775826</c:v>
                </c:pt>
                <c:pt idx="98">
                  <c:v>1.5745883201575985</c:v>
                </c:pt>
                <c:pt idx="99">
                  <c:v>1.5746665349241376</c:v>
                </c:pt>
                <c:pt idx="100">
                  <c:v>1.574745561517356</c:v>
                </c:pt>
                <c:pt idx="101">
                  <c:v>1.5748254004832734</c:v>
                </c:pt>
                <c:pt idx="102">
                  <c:v>1.5749060523737823</c:v>
                </c:pt>
                <c:pt idx="103">
                  <c:v>1.5749875177466621</c:v>
                </c:pt>
                <c:pt idx="104">
                  <c:v>1.5750697971655894</c:v>
                </c:pt>
                <c:pt idx="105">
                  <c:v>1.5751528912001509</c:v>
                </c:pt>
                <c:pt idx="106">
                  <c:v>1.5752368004258561</c:v>
                </c:pt>
                <c:pt idx="107">
                  <c:v>1.5753215254241493</c:v>
                </c:pt>
                <c:pt idx="108">
                  <c:v>1.5754070667824223</c:v>
                </c:pt>
                <c:pt idx="109">
                  <c:v>1.5754934250940276</c:v>
                </c:pt>
                <c:pt idx="110">
                  <c:v>1.57558060095829</c:v>
                </c:pt>
                <c:pt idx="111">
                  <c:v>1.5756685949805214</c:v>
                </c:pt>
                <c:pt idx="112">
                  <c:v>1.5757574077720329</c:v>
                </c:pt>
                <c:pt idx="113">
                  <c:v>1.5758470399501481</c:v>
                </c:pt>
                <c:pt idx="114">
                  <c:v>1.5759374921382172</c:v>
                </c:pt>
                <c:pt idx="115">
                  <c:v>1.5760287649656295</c:v>
                </c:pt>
                <c:pt idx="116">
                  <c:v>1.5761208590678291</c:v>
                </c:pt>
                <c:pt idx="117">
                  <c:v>1.5762137750863261</c:v>
                </c:pt>
                <c:pt idx="118">
                  <c:v>1.576307513668713</c:v>
                </c:pt>
                <c:pt idx="119">
                  <c:v>1.5764020754686778</c:v>
                </c:pt>
                <c:pt idx="120">
                  <c:v>1.5764974611460181</c:v>
                </c:pt>
                <c:pt idx="121">
                  <c:v>1.5765936713666564</c:v>
                </c:pt>
                <c:pt idx="122">
                  <c:v>1.5766907068026539</c:v>
                </c:pt>
                <c:pt idx="123">
                  <c:v>1.576788568132226</c:v>
                </c:pt>
                <c:pt idx="124">
                  <c:v>1.5768872560397564</c:v>
                </c:pt>
                <c:pt idx="125">
                  <c:v>1.5769867712158132</c:v>
                </c:pt>
                <c:pt idx="126">
                  <c:v>1.577087114357163</c:v>
                </c:pt>
                <c:pt idx="127">
                  <c:v>1.577188286166787</c:v>
                </c:pt>
                <c:pt idx="128">
                  <c:v>1.5772902873538959</c:v>
                </c:pt>
                <c:pt idx="129">
                  <c:v>1.5773931186339469</c:v>
                </c:pt>
                <c:pt idx="130">
                  <c:v>1.5774967807286577</c:v>
                </c:pt>
                <c:pt idx="131">
                  <c:v>1.5776012743660239</c:v>
                </c:pt>
                <c:pt idx="132">
                  <c:v>1.5777066002803342</c:v>
                </c:pt>
                <c:pt idx="133">
                  <c:v>1.5778127592121871</c:v>
                </c:pt>
                <c:pt idx="134">
                  <c:v>1.5779197519085078</c:v>
                </c:pt>
                <c:pt idx="135">
                  <c:v>1.5780275791225635</c:v>
                </c:pt>
                <c:pt idx="136">
                  <c:v>1.5781362416139817</c:v>
                </c:pt>
                <c:pt idx="137">
                  <c:v>1.5782457401487657</c:v>
                </c:pt>
                <c:pt idx="138">
                  <c:v>1.5783560754993129</c:v>
                </c:pt>
                <c:pt idx="139">
                  <c:v>1.5784672484444313</c:v>
                </c:pt>
                <c:pt idx="140">
                  <c:v>1.5785792597693566</c:v>
                </c:pt>
                <c:pt idx="141">
                  <c:v>1.5786921102657709</c:v>
                </c:pt>
                <c:pt idx="142">
                  <c:v>1.5788058007318191</c:v>
                </c:pt>
                <c:pt idx="143">
                  <c:v>1.5789203319721277</c:v>
                </c:pt>
                <c:pt idx="144">
                  <c:v>1.5790357047978221</c:v>
                </c:pt>
                <c:pt idx="145">
                  <c:v>1.5791519200265456</c:v>
                </c:pt>
                <c:pt idx="146">
                  <c:v>1.5792689784824776</c:v>
                </c:pt>
                <c:pt idx="147">
                  <c:v>1.5793868809963512</c:v>
                </c:pt>
                <c:pt idx="148">
                  <c:v>1.5795056284054731</c:v>
                </c:pt>
                <c:pt idx="149">
                  <c:v>1.5796252215537421</c:v>
                </c:pt>
                <c:pt idx="150">
                  <c:v>1.5797456612916672</c:v>
                </c:pt>
                <c:pt idx="151">
                  <c:v>1.5798669484763885</c:v>
                </c:pt>
                <c:pt idx="152">
                  <c:v>1.5799890839716955</c:v>
                </c:pt>
                <c:pt idx="153">
                  <c:v>1.5801120686480463</c:v>
                </c:pt>
                <c:pt idx="154">
                  <c:v>1.5802359033825888</c:v>
                </c:pt>
                <c:pt idx="155">
                  <c:v>1.5803605890591785</c:v>
                </c:pt>
                <c:pt idx="156">
                  <c:v>1.5804861265684009</c:v>
                </c:pt>
                <c:pt idx="157">
                  <c:v>1.58061251680759</c:v>
                </c:pt>
                <c:pt idx="158">
                  <c:v>1.5807397606808489</c:v>
                </c:pt>
                <c:pt idx="159">
                  <c:v>1.5808678590990715</c:v>
                </c:pt>
                <c:pt idx="160">
                  <c:v>1.5809968129799623</c:v>
                </c:pt>
                <c:pt idx="161">
                  <c:v>1.5811266232480574</c:v>
                </c:pt>
                <c:pt idx="162">
                  <c:v>1.5812572908347462</c:v>
                </c:pt>
                <c:pt idx="163">
                  <c:v>1.5813888166782923</c:v>
                </c:pt>
                <c:pt idx="164">
                  <c:v>1.5815212017238551</c:v>
                </c:pt>
                <c:pt idx="165">
                  <c:v>1.5816544469235112</c:v>
                </c:pt>
                <c:pt idx="166">
                  <c:v>1.5817885532362768</c:v>
                </c:pt>
                <c:pt idx="167">
                  <c:v>1.5819235216281295</c:v>
                </c:pt>
                <c:pt idx="168">
                  <c:v>1.5820593530720304</c:v>
                </c:pt>
                <c:pt idx="169">
                  <c:v>1.5821960485479469</c:v>
                </c:pt>
                <c:pt idx="170">
                  <c:v>1.5823336090428746</c:v>
                </c:pt>
                <c:pt idx="171">
                  <c:v>1.582472035550861</c:v>
                </c:pt>
                <c:pt idx="172">
                  <c:v>1.5826113290730282</c:v>
                </c:pt>
                <c:pt idx="173">
                  <c:v>1.5827514906175955</c:v>
                </c:pt>
                <c:pt idx="174">
                  <c:v>1.5828925211999036</c:v>
                </c:pt>
                <c:pt idx="175">
                  <c:v>1.5830344218424379</c:v>
                </c:pt>
                <c:pt idx="176">
                  <c:v>1.5831771935748518</c:v>
                </c:pt>
                <c:pt idx="177">
                  <c:v>1.5833208374339915</c:v>
                </c:pt>
                <c:pt idx="178">
                  <c:v>1.5834653544639199</c:v>
                </c:pt>
                <c:pt idx="179">
                  <c:v>1.5836107457159403</c:v>
                </c:pt>
                <c:pt idx="180">
                  <c:v>1.5837570122486218</c:v>
                </c:pt>
                <c:pt idx="181">
                  <c:v>1.5839041551278239</c:v>
                </c:pt>
                <c:pt idx="182">
                  <c:v>1.5840521754267207</c:v>
                </c:pt>
                <c:pt idx="183">
                  <c:v>1.5842010742258281</c:v>
                </c:pt>
                <c:pt idx="184">
                  <c:v>1.5843508526130263</c:v>
                </c:pt>
                <c:pt idx="185">
                  <c:v>1.5845015116835877</c:v>
                </c:pt>
                <c:pt idx="186">
                  <c:v>1.5846530525402014</c:v>
                </c:pt>
                <c:pt idx="187">
                  <c:v>1.5848054762930008</c:v>
                </c:pt>
                <c:pt idx="188">
                  <c:v>1.5849587840595876</c:v>
                </c:pt>
                <c:pt idx="189">
                  <c:v>1.5851129769650596</c:v>
                </c:pt>
                <c:pt idx="190">
                  <c:v>1.5852680561420374</c:v>
                </c:pt>
                <c:pt idx="191">
                  <c:v>1.5854240227306913</c:v>
                </c:pt>
                <c:pt idx="192">
                  <c:v>1.5855808778787668</c:v>
                </c:pt>
                <c:pt idx="193">
                  <c:v>1.5857386227416146</c:v>
                </c:pt>
                <c:pt idx="194">
                  <c:v>1.5858972584822155</c:v>
                </c:pt>
                <c:pt idx="195">
                  <c:v>1.5860567862712101</c:v>
                </c:pt>
                <c:pt idx="196">
                  <c:v>1.5862172072869256</c:v>
                </c:pt>
                <c:pt idx="197">
                  <c:v>1.5863785227154039</c:v>
                </c:pt>
                <c:pt idx="198">
                  <c:v>1.5865407337504314</c:v>
                </c:pt>
                <c:pt idx="199">
                  <c:v>1.5867038415935657</c:v>
                </c:pt>
                <c:pt idx="200">
                  <c:v>1.5868678474541662</c:v>
                </c:pt>
                <c:pt idx="201">
                  <c:v>1.5870327525494214</c:v>
                </c:pt>
                <c:pt idx="202">
                  <c:v>1.5871985581043804</c:v>
                </c:pt>
                <c:pt idx="203">
                  <c:v>1.5873652653519799</c:v>
                </c:pt>
                <c:pt idx="204">
                  <c:v>1.5875328755330766</c:v>
                </c:pt>
                <c:pt idx="205">
                  <c:v>1.5877013898964754</c:v>
                </c:pt>
                <c:pt idx="206">
                  <c:v>1.5878708096989598</c:v>
                </c:pt>
                <c:pt idx="207">
                  <c:v>1.5880411362053235</c:v>
                </c:pt>
                <c:pt idx="208">
                  <c:v>1.5882123706883997</c:v>
                </c:pt>
                <c:pt idx="209">
                  <c:v>1.5883845144290936</c:v>
                </c:pt>
                <c:pt idx="210">
                  <c:v>1.5885575687164122</c:v>
                </c:pt>
                <c:pt idx="211">
                  <c:v>1.5887315348474962</c:v>
                </c:pt>
                <c:pt idx="212">
                  <c:v>1.5889064141276528</c:v>
                </c:pt>
                <c:pt idx="213">
                  <c:v>1.5890822078703855</c:v>
                </c:pt>
                <c:pt idx="214">
                  <c:v>1.5892589173974285</c:v>
                </c:pt>
                <c:pt idx="215">
                  <c:v>1.5894365440387777</c:v>
                </c:pt>
                <c:pt idx="216">
                  <c:v>1.5896150891327241</c:v>
                </c:pt>
                <c:pt idx="217">
                  <c:v>1.5897945540258862</c:v>
                </c:pt>
                <c:pt idx="218">
                  <c:v>1.5899749400732439</c:v>
                </c:pt>
                <c:pt idx="219">
                  <c:v>1.5901562486381715</c:v>
                </c:pt>
                <c:pt idx="220">
                  <c:v>1.5903384810924717</c:v>
                </c:pt>
                <c:pt idx="221">
                  <c:v>1.5905216388164092</c:v>
                </c:pt>
                <c:pt idx="222">
                  <c:v>1.5907057231987456</c:v>
                </c:pt>
                <c:pt idx="223">
                  <c:v>1.5908907356367734</c:v>
                </c:pt>
                <c:pt idx="224">
                  <c:v>1.5910766775363512</c:v>
                </c:pt>
                <c:pt idx="225">
                  <c:v>1.5912635503119379</c:v>
                </c:pt>
                <c:pt idx="226">
                  <c:v>1.5914513553866294</c:v>
                </c:pt>
                <c:pt idx="227">
                  <c:v>1.5916400941921931</c:v>
                </c:pt>
                <c:pt idx="228">
                  <c:v>1.5918297681691045</c:v>
                </c:pt>
                <c:pt idx="229">
                  <c:v>1.5920203787665823</c:v>
                </c:pt>
                <c:pt idx="230">
                  <c:v>1.5922119274426265</c:v>
                </c:pt>
                <c:pt idx="231">
                  <c:v>1.5924044156640538</c:v>
                </c:pt>
                <c:pt idx="232">
                  <c:v>1.5925978449065348</c:v>
                </c:pt>
                <c:pt idx="233">
                  <c:v>1.5927922166546316</c:v>
                </c:pt>
                <c:pt idx="234">
                  <c:v>1.5929875324018354</c:v>
                </c:pt>
                <c:pt idx="235">
                  <c:v>1.5931837936506048</c:v>
                </c:pt>
                <c:pt idx="236">
                  <c:v>1.5933810019124024</c:v>
                </c:pt>
                <c:pt idx="237">
                  <c:v>1.5935791587077346</c:v>
                </c:pt>
                <c:pt idx="238">
                  <c:v>1.5937782655661903</c:v>
                </c:pt>
                <c:pt idx="239">
                  <c:v>1.5939783240264791</c:v>
                </c:pt>
                <c:pt idx="240">
                  <c:v>1.5941793356364722</c:v>
                </c:pt>
                <c:pt idx="241">
                  <c:v>1.5943813019532402</c:v>
                </c:pt>
                <c:pt idx="242">
                  <c:v>1.5945842245430941</c:v>
                </c:pt>
                <c:pt idx="243">
                  <c:v>1.5947881049816253</c:v>
                </c:pt>
                <c:pt idx="244">
                  <c:v>1.5949929448537465</c:v>
                </c:pt>
                <c:pt idx="245">
                  <c:v>1.595198745753732</c:v>
                </c:pt>
                <c:pt idx="246">
                  <c:v>1.5954055092852595</c:v>
                </c:pt>
                <c:pt idx="247">
                  <c:v>1.5956132370614513</c:v>
                </c:pt>
                <c:pt idx="248">
                  <c:v>1.595821930704916</c:v>
                </c:pt>
                <c:pt idx="249">
                  <c:v>1.5960315918477905</c:v>
                </c:pt>
                <c:pt idx="250">
                  <c:v>1.5962422221317834</c:v>
                </c:pt>
                <c:pt idx="251">
                  <c:v>1.5964538232082168</c:v>
                </c:pt>
                <c:pt idx="252">
                  <c:v>1.5966663967380699</c:v>
                </c:pt>
                <c:pt idx="253">
                  <c:v>1.5968799443920223</c:v>
                </c:pt>
                <c:pt idx="254">
                  <c:v>1.5970944678504975</c:v>
                </c:pt>
                <c:pt idx="255">
                  <c:v>1.5973099688037078</c:v>
                </c:pt>
                <c:pt idx="256">
                  <c:v>1.5975264489516985</c:v>
                </c:pt>
                <c:pt idx="257">
                  <c:v>1.5977439100043915</c:v>
                </c:pt>
                <c:pt idx="258">
                  <c:v>1.5979623536816328</c:v>
                </c:pt>
                <c:pt idx="259">
                  <c:v>1.5981817817132355</c:v>
                </c:pt>
                <c:pt idx="260">
                  <c:v>1.5984021958390275</c:v>
                </c:pt>
                <c:pt idx="261">
                  <c:v>1.5986235978088965</c:v>
                </c:pt>
                <c:pt idx="262">
                  <c:v>1.5988459893828373</c:v>
                </c:pt>
                <c:pt idx="263">
                  <c:v>1.5990693723309981</c:v>
                </c:pt>
                <c:pt idx="264">
                  <c:v>1.5992937484337286</c:v>
                </c:pt>
                <c:pt idx="265">
                  <c:v>1.5995191194816265</c:v>
                </c:pt>
                <c:pt idx="266">
                  <c:v>1.5997454872755863</c:v>
                </c:pt>
                <c:pt idx="267">
                  <c:v>1.5999728536268476</c:v>
                </c:pt>
                <c:pt idx="268">
                  <c:v>1.6002012203570433</c:v>
                </c:pt>
                <c:pt idx="269">
                  <c:v>1.6004305892982491</c:v>
                </c:pt>
                <c:pt idx="270">
                  <c:v>1.6006609622930332</c:v>
                </c:pt>
                <c:pt idx="271">
                  <c:v>1.6008923411945057</c:v>
                </c:pt>
                <c:pt idx="272">
                  <c:v>1.6011247278663689</c:v>
                </c:pt>
                <c:pt idx="273">
                  <c:v>1.601358124182968</c:v>
                </c:pt>
                <c:pt idx="274">
                  <c:v>1.6015925320293418</c:v>
                </c:pt>
                <c:pt idx="275">
                  <c:v>1.6018279533012754</c:v>
                </c:pt>
                <c:pt idx="276">
                  <c:v>1.6020643899053495</c:v>
                </c:pt>
                <c:pt idx="277">
                  <c:v>1.602301843758996</c:v>
                </c:pt>
                <c:pt idx="278">
                  <c:v>1.6025403167905468</c:v>
                </c:pt>
                <c:pt idx="279">
                  <c:v>1.6027798109392897</c:v>
                </c:pt>
                <c:pt idx="280">
                  <c:v>1.6030203281555206</c:v>
                </c:pt>
                <c:pt idx="281">
                  <c:v>1.6032618704005976</c:v>
                </c:pt>
                <c:pt idx="282">
                  <c:v>1.6035044396469946</c:v>
                </c:pt>
                <c:pt idx="283">
                  <c:v>1.6037480378783571</c:v>
                </c:pt>
                <c:pt idx="284">
                  <c:v>1.6039926670895563</c:v>
                </c:pt>
                <c:pt idx="285">
                  <c:v>1.6042383292867448</c:v>
                </c:pt>
                <c:pt idx="286">
                  <c:v>1.6044850264874124</c:v>
                </c:pt>
                <c:pt idx="287">
                  <c:v>1.6047327607204434</c:v>
                </c:pt>
                <c:pt idx="288">
                  <c:v>1.6049815340261722</c:v>
                </c:pt>
                <c:pt idx="289">
                  <c:v>1.6052313484564404</c:v>
                </c:pt>
                <c:pt idx="290">
                  <c:v>1.6054822060746561</c:v>
                </c:pt>
                <c:pt idx="291">
                  <c:v>1.6057341089558503</c:v>
                </c:pt>
                <c:pt idx="292">
                  <c:v>1.6059870591867356</c:v>
                </c:pt>
                <c:pt idx="293">
                  <c:v>1.6062410588657665</c:v>
                </c:pt>
                <c:pt idx="294">
                  <c:v>1.606496110103198</c:v>
                </c:pt>
                <c:pt idx="295">
                  <c:v>1.6067522150211444</c:v>
                </c:pt>
                <c:pt idx="296">
                  <c:v>1.6070093757536423</c:v>
                </c:pt>
                <c:pt idx="297">
                  <c:v>1.607267594446709</c:v>
                </c:pt>
                <c:pt idx="298">
                  <c:v>1.6075268732584049</c:v>
                </c:pt>
                <c:pt idx="299">
                  <c:v>1.6077872143588954</c:v>
                </c:pt>
                <c:pt idx="300">
                  <c:v>1.6080486199305128</c:v>
                </c:pt>
                <c:pt idx="301">
                  <c:v>1.6083110921678194</c:v>
                </c:pt>
                <c:pt idx="302">
                  <c:v>1.6085746332776705</c:v>
                </c:pt>
                <c:pt idx="303">
                  <c:v>1.6088392454792779</c:v>
                </c:pt>
                <c:pt idx="304">
                  <c:v>1.6091049310042747</c:v>
                </c:pt>
                <c:pt idx="305">
                  <c:v>1.6093716920967795</c:v>
                </c:pt>
                <c:pt idx="306">
                  <c:v>1.6096395310134621</c:v>
                </c:pt>
                <c:pt idx="307">
                  <c:v>1.6099084500236092</c:v>
                </c:pt>
                <c:pt idx="308">
                  <c:v>1.6101784514091899</c:v>
                </c:pt>
                <c:pt idx="309">
                  <c:v>1.6104495374649233</c:v>
                </c:pt>
                <c:pt idx="310">
                  <c:v>1.6107217104983456</c:v>
                </c:pt>
                <c:pt idx="311">
                  <c:v>1.610994972829878</c:v>
                </c:pt>
                <c:pt idx="312">
                  <c:v>1.6112693267928948</c:v>
                </c:pt>
                <c:pt idx="313">
                  <c:v>1.6115447747337921</c:v>
                </c:pt>
                <c:pt idx="314">
                  <c:v>1.6118213190120574</c:v>
                </c:pt>
                <c:pt idx="315">
                  <c:v>1.6120989620003403</c:v>
                </c:pt>
                <c:pt idx="316">
                  <c:v>1.6123777060845217</c:v>
                </c:pt>
                <c:pt idx="317">
                  <c:v>1.6126575536637864</c:v>
                </c:pt>
                <c:pt idx="318">
                  <c:v>1.6129385071506923</c:v>
                </c:pt>
                <c:pt idx="319">
                  <c:v>1.6132205689712458</c:v>
                </c:pt>
                <c:pt idx="320">
                  <c:v>1.6135037415649716</c:v>
                </c:pt>
                <c:pt idx="321">
                  <c:v>1.6137880273849887</c:v>
                </c:pt>
                <c:pt idx="322">
                  <c:v>1.6140734288980809</c:v>
                </c:pt>
                <c:pt idx="323">
                  <c:v>1.6143599485847755</c:v>
                </c:pt>
                <c:pt idx="324">
                  <c:v>1.6146475889394145</c:v>
                </c:pt>
                <c:pt idx="325">
                  <c:v>1.6149363524702327</c:v>
                </c:pt>
                <c:pt idx="326">
                  <c:v>1.6152262416994327</c:v>
                </c:pt>
                <c:pt idx="327">
                  <c:v>1.6155172591632629</c:v>
                </c:pt>
                <c:pt idx="328">
                  <c:v>1.6158094074120934</c:v>
                </c:pt>
                <c:pt idx="329">
                  <c:v>1.6161026890104961</c:v>
                </c:pt>
                <c:pt idx="330">
                  <c:v>1.6163971065373215</c:v>
                </c:pt>
                <c:pt idx="331">
                  <c:v>1.6166926625857785</c:v>
                </c:pt>
                <c:pt idx="332">
                  <c:v>1.6169893597635157</c:v>
                </c:pt>
                <c:pt idx="333">
                  <c:v>1.6172872006927004</c:v>
                </c:pt>
                <c:pt idx="334">
                  <c:v>1.6175861880101003</c:v>
                </c:pt>
                <c:pt idx="335">
                  <c:v>1.6178863243671657</c:v>
                </c:pt>
                <c:pt idx="336">
                  <c:v>1.618187612430112</c:v>
                </c:pt>
                <c:pt idx="337">
                  <c:v>1.6184900548800016</c:v>
                </c:pt>
                <c:pt idx="338">
                  <c:v>1.6187936544128305</c:v>
                </c:pt>
                <c:pt idx="339">
                  <c:v>1.6190984137396101</c:v>
                </c:pt>
                <c:pt idx="340">
                  <c:v>1.6194043355864536</c:v>
                </c:pt>
                <c:pt idx="341">
                  <c:v>1.6197114226946621</c:v>
                </c:pt>
                <c:pt idx="342">
                  <c:v>1.6200196778208105</c:v>
                </c:pt>
                <c:pt idx="343">
                  <c:v>1.620329103736835</c:v>
                </c:pt>
                <c:pt idx="344">
                  <c:v>1.6206397032301219</c:v>
                </c:pt>
                <c:pt idx="345">
                  <c:v>1.620951479103595</c:v>
                </c:pt>
                <c:pt idx="346">
                  <c:v>1.6212644341758051</c:v>
                </c:pt>
                <c:pt idx="347">
                  <c:v>1.6215785712810216</c:v>
                </c:pt>
                <c:pt idx="348">
                  <c:v>1.6218938932693212</c:v>
                </c:pt>
                <c:pt idx="349">
                  <c:v>1.6222104030066808</c:v>
                </c:pt>
                <c:pt idx="350">
                  <c:v>1.6225281033750707</c:v>
                </c:pt>
                <c:pt idx="351">
                  <c:v>1.6228469972725448</c:v>
                </c:pt>
                <c:pt idx="352">
                  <c:v>1.6231670876133368</c:v>
                </c:pt>
                <c:pt idx="353">
                  <c:v>1.6234883773279545</c:v>
                </c:pt>
                <c:pt idx="354">
                  <c:v>1.6238108693632745</c:v>
                </c:pt>
                <c:pt idx="355">
                  <c:v>1.6241345666826374</c:v>
                </c:pt>
                <c:pt idx="356">
                  <c:v>1.6244594722659478</c:v>
                </c:pt>
                <c:pt idx="357">
                  <c:v>1.6247855891097687</c:v>
                </c:pt>
                <c:pt idx="358">
                  <c:v>1.625112920227421</c:v>
                </c:pt>
                <c:pt idx="359">
                  <c:v>1.6254414686490841</c:v>
                </c:pt>
                <c:pt idx="360">
                  <c:v>1.6257712374218944</c:v>
                </c:pt>
                <c:pt idx="361">
                  <c:v>1.6261022296100465</c:v>
                </c:pt>
                <c:pt idx="362">
                  <c:v>1.6264344482948956</c:v>
                </c:pt>
                <c:pt idx="363">
                  <c:v>1.6267678965750594</c:v>
                </c:pt>
                <c:pt idx="364">
                  <c:v>1.627102577566522</c:v>
                </c:pt>
                <c:pt idx="365">
                  <c:v>1.6274384944027376</c:v>
                </c:pt>
                <c:pt idx="366">
                  <c:v>1.6277756502347365</c:v>
                </c:pt>
                <c:pt idx="367">
                  <c:v>1.6281140482312297</c:v>
                </c:pt>
                <c:pt idx="368">
                  <c:v>1.6284536915787171</c:v>
                </c:pt>
                <c:pt idx="369">
                  <c:v>1.6287945834815953</c:v>
                </c:pt>
                <c:pt idx="370">
                  <c:v>1.6291367271622648</c:v>
                </c:pt>
                <c:pt idx="371">
                  <c:v>1.6294801258612404</c:v>
                </c:pt>
                <c:pt idx="372">
                  <c:v>1.6298247828372618</c:v>
                </c:pt>
                <c:pt idx="373">
                  <c:v>1.6301707013674054</c:v>
                </c:pt>
                <c:pt idx="374">
                  <c:v>1.6305178847471953</c:v>
                </c:pt>
                <c:pt idx="375">
                  <c:v>1.6308663362907172</c:v>
                </c:pt>
                <c:pt idx="376">
                  <c:v>1.6312160593307325</c:v>
                </c:pt>
                <c:pt idx="377">
                  <c:v>1.6315670572187944</c:v>
                </c:pt>
                <c:pt idx="378">
                  <c:v>1.6319193333253614</c:v>
                </c:pt>
                <c:pt idx="379">
                  <c:v>1.6322728910399176</c:v>
                </c:pt>
                <c:pt idx="380">
                  <c:v>1.6326277337710873</c:v>
                </c:pt>
                <c:pt idx="381">
                  <c:v>1.6329838649467574</c:v>
                </c:pt>
                <c:pt idx="382">
                  <c:v>1.6333412880141949</c:v>
                </c:pt>
                <c:pt idx="383">
                  <c:v>1.6337000064401692</c:v>
                </c:pt>
                <c:pt idx="384">
                  <c:v>1.6340600237110732</c:v>
                </c:pt>
                <c:pt idx="385">
                  <c:v>1.6344213433330477</c:v>
                </c:pt>
                <c:pt idx="386">
                  <c:v>1.6347839688321035</c:v>
                </c:pt>
                <c:pt idx="387">
                  <c:v>1.6351479037542491</c:v>
                </c:pt>
                <c:pt idx="388">
                  <c:v>1.6355131516656145</c:v>
                </c:pt>
                <c:pt idx="389">
                  <c:v>1.63587971615258</c:v>
                </c:pt>
                <c:pt idx="390">
                  <c:v>1.6362476008219033</c:v>
                </c:pt>
                <c:pt idx="391">
                  <c:v>1.6366168093008511</c:v>
                </c:pt>
                <c:pt idx="392">
                  <c:v>1.6369873452373267</c:v>
                </c:pt>
                <c:pt idx="393">
                  <c:v>1.6373592123000045</c:v>
                </c:pt>
                <c:pt idx="394">
                  <c:v>1.6377324141784599</c:v>
                </c:pt>
                <c:pt idx="395">
                  <c:v>1.6381069545833062</c:v>
                </c:pt>
                <c:pt idx="396">
                  <c:v>1.6384828372463278</c:v>
                </c:pt>
                <c:pt idx="397">
                  <c:v>1.6388600659206161</c:v>
                </c:pt>
                <c:pt idx="398">
                  <c:v>1.6392386443807085</c:v>
                </c:pt>
                <c:pt idx="399">
                  <c:v>1.6396185764227256</c:v>
                </c:pt>
                <c:pt idx="400">
                  <c:v>1.639999865864511</c:v>
                </c:pt>
                <c:pt idx="401">
                  <c:v>1.6403825165457737</c:v>
                </c:pt>
                <c:pt idx="402">
                  <c:v>1.6407665323282281</c:v>
                </c:pt>
                <c:pt idx="403">
                  <c:v>1.6411519170957387</c:v>
                </c:pt>
                <c:pt idx="404">
                  <c:v>1.6415386747544651</c:v>
                </c:pt>
                <c:pt idx="405">
                  <c:v>1.6419268092330064</c:v>
                </c:pt>
                <c:pt idx="406">
                  <c:v>1.6423163244825498</c:v>
                </c:pt>
                <c:pt idx="407">
                  <c:v>1.6427072244770184</c:v>
                </c:pt>
                <c:pt idx="408">
                  <c:v>1.6430995132132207</c:v>
                </c:pt>
                <c:pt idx="409">
                  <c:v>1.6434931947110016</c:v>
                </c:pt>
                <c:pt idx="410">
                  <c:v>1.6438882730133957</c:v>
                </c:pt>
                <c:pt idx="411">
                  <c:v>1.6442847521867796</c:v>
                </c:pt>
                <c:pt idx="412">
                  <c:v>1.6446826363210281</c:v>
                </c:pt>
                <c:pt idx="413">
                  <c:v>1.645081929529669</c:v>
                </c:pt>
                <c:pt idx="414">
                  <c:v>1.645482635950043</c:v>
                </c:pt>
                <c:pt idx="415">
                  <c:v>1.6458847597434612</c:v>
                </c:pt>
                <c:pt idx="416">
                  <c:v>1.6462883050953654</c:v>
                </c:pt>
                <c:pt idx="417">
                  <c:v>1.6466932762154913</c:v>
                </c:pt>
                <c:pt idx="418">
                  <c:v>1.6470996773380318</c:v>
                </c:pt>
                <c:pt idx="419">
                  <c:v>1.6475075127217997</c:v>
                </c:pt>
                <c:pt idx="420">
                  <c:v>1.647916786650397</c:v>
                </c:pt>
                <c:pt idx="421">
                  <c:v>1.6483275034323803</c:v>
                </c:pt>
                <c:pt idx="422">
                  <c:v>1.6487396674014307</c:v>
                </c:pt>
                <c:pt idx="423">
                  <c:v>1.649153282916525</c:v>
                </c:pt>
                <c:pt idx="424">
                  <c:v>1.6495683543621078</c:v>
                </c:pt>
                <c:pt idx="425">
                  <c:v>1.6499848861482644</c:v>
                </c:pt>
                <c:pt idx="426">
                  <c:v>1.6504028827108972</c:v>
                </c:pt>
                <c:pt idx="427">
                  <c:v>1.6508223485119022</c:v>
                </c:pt>
                <c:pt idx="428">
                  <c:v>1.6512432880393473</c:v>
                </c:pt>
                <c:pt idx="429">
                  <c:v>1.6516657058076527</c:v>
                </c:pt>
                <c:pt idx="430">
                  <c:v>1.6520896063577721</c:v>
                </c:pt>
                <c:pt idx="431">
                  <c:v>1.6525149942573769</c:v>
                </c:pt>
                <c:pt idx="432">
                  <c:v>1.6529418741010402</c:v>
                </c:pt>
                <c:pt idx="433">
                  <c:v>1.653370250510424</c:v>
                </c:pt>
                <c:pt idx="434">
                  <c:v>1.6538001281344676</c:v>
                </c:pt>
                <c:pt idx="435">
                  <c:v>1.6542315116495774</c:v>
                </c:pt>
                <c:pt idx="436">
                  <c:v>1.6546644057598183</c:v>
                </c:pt>
                <c:pt idx="437">
                  <c:v>1.6550988151971084</c:v>
                </c:pt>
                <c:pt idx="438">
                  <c:v>1.655534744721413</c:v>
                </c:pt>
                <c:pt idx="439">
                  <c:v>1.6559721991209428</c:v>
                </c:pt>
                <c:pt idx="440">
                  <c:v>1.6564111832123511</c:v>
                </c:pt>
                <c:pt idx="441">
                  <c:v>1.6568517018409363</c:v>
                </c:pt>
                <c:pt idx="442">
                  <c:v>1.6572937598808435</c:v>
                </c:pt>
                <c:pt idx="443">
                  <c:v>1.6577373622352687</c:v>
                </c:pt>
                <c:pt idx="444">
                  <c:v>1.6581825138366653</c:v>
                </c:pt>
                <c:pt idx="445">
                  <c:v>1.6586292196469525</c:v>
                </c:pt>
                <c:pt idx="446">
                  <c:v>1.6590774846577248</c:v>
                </c:pt>
                <c:pt idx="447">
                  <c:v>1.6595273138904643</c:v>
                </c:pt>
                <c:pt idx="448">
                  <c:v>1.6599787123967549</c:v>
                </c:pt>
                <c:pt idx="449">
                  <c:v>1.6604316852584973</c:v>
                </c:pt>
                <c:pt idx="450">
                  <c:v>1.6608862375881286</c:v>
                </c:pt>
                <c:pt idx="451">
                  <c:v>1.66134237452884</c:v>
                </c:pt>
                <c:pt idx="452">
                  <c:v>1.6618001012548014</c:v>
                </c:pt>
                <c:pt idx="453">
                  <c:v>1.6622594229713825</c:v>
                </c:pt>
                <c:pt idx="454">
                  <c:v>1.6627203449153822</c:v>
                </c:pt>
                <c:pt idx="455">
                  <c:v>1.6631828723552546</c:v>
                </c:pt>
                <c:pt idx="456">
                  <c:v>1.6636470105913399</c:v>
                </c:pt>
                <c:pt idx="457">
                  <c:v>1.6641127649560969</c:v>
                </c:pt>
                <c:pt idx="458">
                  <c:v>1.6645801408143397</c:v>
                </c:pt>
                <c:pt idx="459">
                  <c:v>1.6650491435634709</c:v>
                </c:pt>
                <c:pt idx="460">
                  <c:v>1.6655197786337244</c:v>
                </c:pt>
                <c:pt idx="461">
                  <c:v>1.6659920514884048</c:v>
                </c:pt>
                <c:pt idx="462">
                  <c:v>1.6664659676241325</c:v>
                </c:pt>
                <c:pt idx="463">
                  <c:v>1.6669415325710883</c:v>
                </c:pt>
                <c:pt idx="464">
                  <c:v>1.6674187518932631</c:v>
                </c:pt>
                <c:pt idx="465">
                  <c:v>1.6678976311887082</c:v>
                </c:pt>
                <c:pt idx="466">
                  <c:v>1.668378176089788</c:v>
                </c:pt>
                <c:pt idx="467">
                  <c:v>1.6688603922634369</c:v>
                </c:pt>
                <c:pt idx="468">
                  <c:v>1.6693442854114158</c:v>
                </c:pt>
                <c:pt idx="469">
                  <c:v>1.6698298612705733</c:v>
                </c:pt>
                <c:pt idx="470">
                  <c:v>1.6703171256131093</c:v>
                </c:pt>
                <c:pt idx="471">
                  <c:v>1.6708060842468395</c:v>
                </c:pt>
                <c:pt idx="472">
                  <c:v>1.6712967430154637</c:v>
                </c:pt>
                <c:pt idx="473">
                  <c:v>1.6717891077988374</c:v>
                </c:pt>
                <c:pt idx="474">
                  <c:v>1.6722831845132438</c:v>
                </c:pt>
                <c:pt idx="475">
                  <c:v>1.6727789791116707</c:v>
                </c:pt>
                <c:pt idx="476">
                  <c:v>1.6732764975840888</c:v>
                </c:pt>
                <c:pt idx="477">
                  <c:v>1.6737757459577325</c:v>
                </c:pt>
                <c:pt idx="478">
                  <c:v>1.6742767302973853</c:v>
                </c:pt>
                <c:pt idx="479">
                  <c:v>1.6747794567056655</c:v>
                </c:pt>
                <c:pt idx="480">
                  <c:v>1.6752839313233157</c:v>
                </c:pt>
                <c:pt idx="481">
                  <c:v>1.6757901603294965</c:v>
                </c:pt>
                <c:pt idx="482">
                  <c:v>1.6762981499420806</c:v>
                </c:pt>
                <c:pt idx="483">
                  <c:v>1.6768079064179513</c:v>
                </c:pt>
                <c:pt idx="484">
                  <c:v>1.6773194360533048</c:v>
                </c:pt>
                <c:pt idx="485">
                  <c:v>1.6778327451839528</c:v>
                </c:pt>
                <c:pt idx="486">
                  <c:v>1.6783478401856307</c:v>
                </c:pt>
                <c:pt idx="487">
                  <c:v>1.6788647274743067</c:v>
                </c:pt>
                <c:pt idx="488">
                  <c:v>1.6793834135064971</c:v>
                </c:pt>
                <c:pt idx="489">
                  <c:v>1.6799039047795801</c:v>
                </c:pt>
                <c:pt idx="490">
                  <c:v>1.6804262078321175</c:v>
                </c:pt>
                <c:pt idx="491">
                  <c:v>1.6809503292441763</c:v>
                </c:pt>
                <c:pt idx="492">
                  <c:v>1.6814762756376553</c:v>
                </c:pt>
                <c:pt idx="493">
                  <c:v>1.6820040536766128</c:v>
                </c:pt>
                <c:pt idx="494">
                  <c:v>1.6825336700676019</c:v>
                </c:pt>
                <c:pt idx="495">
                  <c:v>1.6830651315600029</c:v>
                </c:pt>
                <c:pt idx="496">
                  <c:v>1.6835984449463657</c:v>
                </c:pt>
                <c:pt idx="497">
                  <c:v>1.6841336170627506</c:v>
                </c:pt>
                <c:pt idx="498">
                  <c:v>1.6846706547890746</c:v>
                </c:pt>
                <c:pt idx="499">
                  <c:v>1.6852095650494621</c:v>
                </c:pt>
                <c:pt idx="500">
                  <c:v>1.6857503548125961</c:v>
                </c:pt>
                <c:pt idx="501">
                  <c:v>1.6862930310920772</c:v>
                </c:pt>
                <c:pt idx="502">
                  <c:v>1.6868376009467825</c:v>
                </c:pt>
                <c:pt idx="503">
                  <c:v>1.6873840714812303</c:v>
                </c:pt>
                <c:pt idx="504">
                  <c:v>1.6879324498459469</c:v>
                </c:pt>
                <c:pt idx="505">
                  <c:v>1.6884827432378398</c:v>
                </c:pt>
                <c:pt idx="506">
                  <c:v>1.6890349589005715</c:v>
                </c:pt>
                <c:pt idx="507">
                  <c:v>1.6895891041249405</c:v>
                </c:pt>
                <c:pt idx="508">
                  <c:v>1.6901451862492616</c:v>
                </c:pt>
                <c:pt idx="509">
                  <c:v>1.6907032126597561</c:v>
                </c:pt>
                <c:pt idx="510">
                  <c:v>1.6912631907909408</c:v>
                </c:pt>
                <c:pt idx="511">
                  <c:v>1.6918251281260241</c:v>
                </c:pt>
                <c:pt idx="512">
                  <c:v>1.692389032197305</c:v>
                </c:pt>
                <c:pt idx="513">
                  <c:v>1.6929549105865758</c:v>
                </c:pt>
                <c:pt idx="514">
                  <c:v>1.6935227709255307</c:v>
                </c:pt>
                <c:pt idx="515">
                  <c:v>1.694092620896178</c:v>
                </c:pt>
                <c:pt idx="516">
                  <c:v>1.6946644682312539</c:v>
                </c:pt>
                <c:pt idx="517">
                  <c:v>1.6952383207146464</c:v>
                </c:pt>
                <c:pt idx="518">
                  <c:v>1.6958141861818172</c:v>
                </c:pt>
                <c:pt idx="519">
                  <c:v>1.6963920725202328</c:v>
                </c:pt>
                <c:pt idx="520">
                  <c:v>1.6969719876697984</c:v>
                </c:pt>
                <c:pt idx="521">
                  <c:v>1.697553939623295</c:v>
                </c:pt>
                <c:pt idx="522">
                  <c:v>1.698137936426825</c:v>
                </c:pt>
                <c:pt idx="523">
                  <c:v>1.6987239861802577</c:v>
                </c:pt>
                <c:pt idx="524">
                  <c:v>1.6993120970376832</c:v>
                </c:pt>
                <c:pt idx="525">
                  <c:v>1.6999022772078691</c:v>
                </c:pt>
                <c:pt idx="526">
                  <c:v>1.7004945349547245</c:v>
                </c:pt>
                <c:pt idx="527">
                  <c:v>1.7010888785977649</c:v>
                </c:pt>
                <c:pt idx="528">
                  <c:v>1.7016853165125863</c:v>
                </c:pt>
                <c:pt idx="529">
                  <c:v>1.7022838571313414</c:v>
                </c:pt>
                <c:pt idx="530">
                  <c:v>1.7028845089432236</c:v>
                </c:pt>
                <c:pt idx="531">
                  <c:v>1.7034872804949528</c:v>
                </c:pt>
                <c:pt idx="532">
                  <c:v>1.7040921803912696</c:v>
                </c:pt>
                <c:pt idx="533">
                  <c:v>1.7046992172954338</c:v>
                </c:pt>
                <c:pt idx="534">
                  <c:v>1.7053083999297274</c:v>
                </c:pt>
                <c:pt idx="535">
                  <c:v>1.7059197370759636</c:v>
                </c:pt>
                <c:pt idx="536">
                  <c:v>1.7065332375760029</c:v>
                </c:pt>
                <c:pt idx="537">
                  <c:v>1.7071489103322723</c:v>
                </c:pt>
                <c:pt idx="538">
                  <c:v>1.7077667643082912</c:v>
                </c:pt>
                <c:pt idx="539">
                  <c:v>1.7083868085292047</c:v>
                </c:pt>
                <c:pt idx="540">
                  <c:v>1.7090090520823191</c:v>
                </c:pt>
                <c:pt idx="541">
                  <c:v>1.7096335041176478</c:v>
                </c:pt>
                <c:pt idx="542">
                  <c:v>1.7102601738484595</c:v>
                </c:pt>
                <c:pt idx="543">
                  <c:v>1.710889070551834</c:v>
                </c:pt>
                <c:pt idx="544">
                  <c:v>1.7115202035692245</c:v>
                </c:pt>
                <c:pt idx="545">
                  <c:v>1.7121535823070255</c:v>
                </c:pt>
                <c:pt idx="546">
                  <c:v>1.712789216237147</c:v>
                </c:pt>
                <c:pt idx="547">
                  <c:v>1.7134271148975952</c:v>
                </c:pt>
                <c:pt idx="548">
                  <c:v>1.7140672878930612</c:v>
                </c:pt>
                <c:pt idx="549">
                  <c:v>1.7147097448955122</c:v>
                </c:pt>
                <c:pt idx="550">
                  <c:v>1.715354495644795</c:v>
                </c:pt>
                <c:pt idx="551">
                  <c:v>1.7160015499492414</c:v>
                </c:pt>
                <c:pt idx="552">
                  <c:v>1.716650917686283</c:v>
                </c:pt>
                <c:pt idx="553">
                  <c:v>1.7173026088030723</c:v>
                </c:pt>
                <c:pt idx="554">
                  <c:v>1.7179566333171103</c:v>
                </c:pt>
                <c:pt idx="555">
                  <c:v>1.718613001316883</c:v>
                </c:pt>
                <c:pt idx="556">
                  <c:v>1.7192717229625025</c:v>
                </c:pt>
                <c:pt idx="557">
                  <c:v>1.7199328084863585</c:v>
                </c:pt>
                <c:pt idx="558">
                  <c:v>1.7205962681937734</c:v>
                </c:pt>
                <c:pt idx="559">
                  <c:v>1.7212621124636682</c:v>
                </c:pt>
                <c:pt idx="560">
                  <c:v>1.7219303517492359</c:v>
                </c:pt>
                <c:pt idx="561">
                  <c:v>1.7226009965786198</c:v>
                </c:pt>
                <c:pt idx="562">
                  <c:v>1.7232740575556029</c:v>
                </c:pt>
                <c:pt idx="563">
                  <c:v>1.7239495453603022</c:v>
                </c:pt>
                <c:pt idx="564">
                  <c:v>1.7246274707498752</c:v>
                </c:pt>
                <c:pt idx="565">
                  <c:v>1.7253078445592291</c:v>
                </c:pt>
                <c:pt idx="566">
                  <c:v>1.7259906777017442</c:v>
                </c:pt>
                <c:pt idx="567">
                  <c:v>1.7266759811700001</c:v>
                </c:pt>
                <c:pt idx="568">
                  <c:v>1.7273637660365149</c:v>
                </c:pt>
                <c:pt idx="569">
                  <c:v>1.7280540434544898</c:v>
                </c:pt>
                <c:pt idx="570">
                  <c:v>1.7287468246585653</c:v>
                </c:pt>
                <c:pt idx="571">
                  <c:v>1.7294421209655837</c:v>
                </c:pt>
                <c:pt idx="572">
                  <c:v>1.7301399437753622</c:v>
                </c:pt>
                <c:pt idx="573">
                  <c:v>1.7308403045714749</c:v>
                </c:pt>
                <c:pt idx="574">
                  <c:v>1.7315432149220427</c:v>
                </c:pt>
                <c:pt idx="575">
                  <c:v>1.7322486864805351</c:v>
                </c:pt>
                <c:pt idx="576">
                  <c:v>1.7329567309865797</c:v>
                </c:pt>
                <c:pt idx="577">
                  <c:v>1.7336673602667809</c:v>
                </c:pt>
                <c:pt idx="578">
                  <c:v>1.7343805862355508</c:v>
                </c:pt>
                <c:pt idx="579">
                  <c:v>1.7350964208959472</c:v>
                </c:pt>
                <c:pt idx="580">
                  <c:v>1.7358148763405243</c:v>
                </c:pt>
                <c:pt idx="581">
                  <c:v>1.7365359647521912</c:v>
                </c:pt>
                <c:pt idx="582">
                  <c:v>1.7372596984050819</c:v>
                </c:pt>
                <c:pt idx="583">
                  <c:v>1.7379860896654369</c:v>
                </c:pt>
                <c:pt idx="584">
                  <c:v>1.7387151509924943</c:v>
                </c:pt>
                <c:pt idx="585">
                  <c:v>1.7394468949393902</c:v>
                </c:pt>
                <c:pt idx="586">
                  <c:v>1.7401813341540739</c:v>
                </c:pt>
                <c:pt idx="587">
                  <c:v>1.7409184813802308</c:v>
                </c:pt>
                <c:pt idx="588">
                  <c:v>1.7416583494582181</c:v>
                </c:pt>
                <c:pt idx="589">
                  <c:v>1.7424009513260119</c:v>
                </c:pt>
                <c:pt idx="590">
                  <c:v>1.7431463000201657</c:v>
                </c:pt>
                <c:pt idx="591">
                  <c:v>1.7438944086767818</c:v>
                </c:pt>
                <c:pt idx="592">
                  <c:v>1.7446452905324921</c:v>
                </c:pt>
                <c:pt idx="593">
                  <c:v>1.7453989589254537</c:v>
                </c:pt>
                <c:pt idx="594">
                  <c:v>1.7461554272963555</c:v>
                </c:pt>
                <c:pt idx="595">
                  <c:v>1.7469147091894388</c:v>
                </c:pt>
                <c:pt idx="596">
                  <c:v>1.7476768182535274</c:v>
                </c:pt>
                <c:pt idx="597">
                  <c:v>1.7484417682430751</c:v>
                </c:pt>
                <c:pt idx="598">
                  <c:v>1.7492095730192219</c:v>
                </c:pt>
                <c:pt idx="599">
                  <c:v>1.7499802465508667</c:v>
                </c:pt>
                <c:pt idx="600">
                  <c:v>1.7507538029157523</c:v>
                </c:pt>
                <c:pt idx="601">
                  <c:v>1.7515302563015642</c:v>
                </c:pt>
                <c:pt idx="602">
                  <c:v>1.7523096210070419</c:v>
                </c:pt>
                <c:pt idx="603">
                  <c:v>1.7530919114431083</c:v>
                </c:pt>
                <c:pt idx="604">
                  <c:v>1.753877142134008</c:v>
                </c:pt>
                <c:pt idx="605">
                  <c:v>1.7546653277184654</c:v>
                </c:pt>
                <c:pt idx="606">
                  <c:v>1.755456482950853</c:v>
                </c:pt>
                <c:pt idx="607">
                  <c:v>1.7562506227023786</c:v>
                </c:pt>
                <c:pt idx="608">
                  <c:v>1.7570477619622857</c:v>
                </c:pt>
                <c:pt idx="609">
                  <c:v>1.7578479158390694</c:v>
                </c:pt>
                <c:pt idx="610">
                  <c:v>1.7586510995617075</c:v>
                </c:pt>
                <c:pt idx="611">
                  <c:v>1.7594573284809096</c:v>
                </c:pt>
                <c:pt idx="612">
                  <c:v>1.7602666180703817</c:v>
                </c:pt>
                <c:pt idx="613">
                  <c:v>1.7610789839281038</c:v>
                </c:pt>
                <c:pt idx="614">
                  <c:v>1.7618944417776314</c:v>
                </c:pt>
                <c:pt idx="615">
                  <c:v>1.7627130074694055</c:v>
                </c:pt>
                <c:pt idx="616">
                  <c:v>1.7635346969820873</c:v>
                </c:pt>
                <c:pt idx="617">
                  <c:v>1.7643595264239051</c:v>
                </c:pt>
                <c:pt idx="618">
                  <c:v>1.7651875120340224</c:v>
                </c:pt>
                <c:pt idx="619">
                  <c:v>1.766018670183922</c:v>
                </c:pt>
                <c:pt idx="620">
                  <c:v>1.7668530173788091</c:v>
                </c:pt>
                <c:pt idx="621">
                  <c:v>1.7676905702590331</c:v>
                </c:pt>
                <c:pt idx="622">
                  <c:v>1.7685313456015297</c:v>
                </c:pt>
                <c:pt idx="623">
                  <c:v>1.7693753603212792</c:v>
                </c:pt>
                <c:pt idx="624">
                  <c:v>1.7702226314727865</c:v>
                </c:pt>
                <c:pt idx="625">
                  <c:v>1.7710731762515812</c:v>
                </c:pt>
                <c:pt idx="626">
                  <c:v>1.7719270119957369</c:v>
                </c:pt>
                <c:pt idx="627">
                  <c:v>1.7727841561874114</c:v>
                </c:pt>
                <c:pt idx="628">
                  <c:v>1.773644626454407</c:v>
                </c:pt>
                <c:pt idx="629">
                  <c:v>1.7745084405717537</c:v>
                </c:pt>
                <c:pt idx="630">
                  <c:v>1.775375616463313</c:v>
                </c:pt>
                <c:pt idx="631">
                  <c:v>1.7762461722034022</c:v>
                </c:pt>
                <c:pt idx="632">
                  <c:v>1.7771201260184437</c:v>
                </c:pt>
                <c:pt idx="633">
                  <c:v>1.7779974962886347</c:v>
                </c:pt>
                <c:pt idx="634">
                  <c:v>1.7788783015496401</c:v>
                </c:pt>
                <c:pt idx="635">
                  <c:v>1.7797625604943115</c:v>
                </c:pt>
                <c:pt idx="636">
                  <c:v>1.7806502919744247</c:v>
                </c:pt>
                <c:pt idx="637">
                  <c:v>1.781541515002447</c:v>
                </c:pt>
                <c:pt idx="638">
                  <c:v>1.7824362487533241</c:v>
                </c:pt>
                <c:pt idx="639">
                  <c:v>1.7833345125662967</c:v>
                </c:pt>
                <c:pt idx="640">
                  <c:v>1.784236325946738</c:v>
                </c:pt>
                <c:pt idx="641">
                  <c:v>1.7851417085680201</c:v>
                </c:pt>
                <c:pt idx="642">
                  <c:v>1.7860506802734055</c:v>
                </c:pt>
                <c:pt idx="643">
                  <c:v>1.7869632610779642</c:v>
                </c:pt>
                <c:pt idx="644">
                  <c:v>1.7878794711705213</c:v>
                </c:pt>
                <c:pt idx="645">
                  <c:v>1.7887993309156269</c:v>
                </c:pt>
                <c:pt idx="646">
                  <c:v>1.7897228608555598</c:v>
                </c:pt>
                <c:pt idx="647">
                  <c:v>1.7906500817123558</c:v>
                </c:pt>
                <c:pt idx="648">
                  <c:v>1.7915810143898658</c:v>
                </c:pt>
                <c:pt idx="649">
                  <c:v>1.7925156799758446</c:v>
                </c:pt>
                <c:pt idx="650">
                  <c:v>1.7934540997440684</c:v>
                </c:pt>
                <c:pt idx="651">
                  <c:v>1.7943962951564838</c:v>
                </c:pt>
                <c:pt idx="652">
                  <c:v>1.7953422878653871</c:v>
                </c:pt>
                <c:pt idx="653">
                  <c:v>1.796292099715636</c:v>
                </c:pt>
                <c:pt idx="654">
                  <c:v>1.7972457527468919</c:v>
                </c:pt>
                <c:pt idx="655">
                  <c:v>1.7982032691958978</c:v>
                </c:pt>
                <c:pt idx="656">
                  <c:v>1.7991646714987863</c:v>
                </c:pt>
                <c:pt idx="657">
                  <c:v>1.8001299822934227</c:v>
                </c:pt>
                <c:pt idx="658">
                  <c:v>1.8010992244217841</c:v>
                </c:pt>
                <c:pt idx="659">
                  <c:v>1.8020724209323713</c:v>
                </c:pt>
                <c:pt idx="660">
                  <c:v>1.8030495950826575</c:v>
                </c:pt>
                <c:pt idx="661">
                  <c:v>1.8040307703415728</c:v>
                </c:pt>
                <c:pt idx="662">
                  <c:v>1.8050159703920268</c:v>
                </c:pt>
                <c:pt idx="663">
                  <c:v>1.8060052191334677</c:v>
                </c:pt>
                <c:pt idx="664">
                  <c:v>1.8069985406844795</c:v>
                </c:pt>
                <c:pt idx="665">
                  <c:v>1.8079959593854207</c:v>
                </c:pt>
                <c:pt idx="666">
                  <c:v>1.8089974998010978</c:v>
                </c:pt>
                <c:pt idx="667">
                  <c:v>1.8100031867234856</c:v>
                </c:pt>
                <c:pt idx="668">
                  <c:v>1.8110130451744828</c:v>
                </c:pt>
                <c:pt idx="669">
                  <c:v>1.8120271004087127</c:v>
                </c:pt>
                <c:pt idx="670">
                  <c:v>1.8130453779163667</c:v>
                </c:pt>
                <c:pt idx="671">
                  <c:v>1.8140679034260889</c:v>
                </c:pt>
                <c:pt idx="672">
                  <c:v>1.8150947029079083</c:v>
                </c:pt>
                <c:pt idx="673">
                  <c:v>1.8161258025762133</c:v>
                </c:pt>
                <c:pt idx="674">
                  <c:v>1.8171612288927717</c:v>
                </c:pt>
                <c:pt idx="675">
                  <c:v>1.818201008569801</c:v>
                </c:pt>
                <c:pt idx="676">
                  <c:v>1.8192451685730844</c:v>
                </c:pt>
                <c:pt idx="677">
                  <c:v>1.8202937361251319</c:v>
                </c:pt>
                <c:pt idx="678">
                  <c:v>1.8213467387083968</c:v>
                </c:pt>
                <c:pt idx="679">
                  <c:v>1.8224042040685384</c:v>
                </c:pt>
                <c:pt idx="680">
                  <c:v>1.8234661602177384</c:v>
                </c:pt>
                <c:pt idx="681">
                  <c:v>1.8245326354380658</c:v>
                </c:pt>
                <c:pt idx="682">
                  <c:v>1.8256036582849007</c:v>
                </c:pt>
                <c:pt idx="683">
                  <c:v>1.8266792575904078</c:v>
                </c:pt>
                <c:pt idx="684">
                  <c:v>1.8277594624670659</c:v>
                </c:pt>
                <c:pt idx="685">
                  <c:v>1.8288443023112562</c:v>
                </c:pt>
                <c:pt idx="686">
                  <c:v>1.8299338068069051</c:v>
                </c:pt>
                <c:pt idx="687">
                  <c:v>1.8310280059291866</c:v>
                </c:pt>
                <c:pt idx="688">
                  <c:v>1.8321269299482854</c:v>
                </c:pt>
                <c:pt idx="689">
                  <c:v>1.8332306094332196</c:v>
                </c:pt>
                <c:pt idx="690">
                  <c:v>1.8343390752557251</c:v>
                </c:pt>
                <c:pt idx="691">
                  <c:v>1.8354523585942042</c:v>
                </c:pt>
                <c:pt idx="692">
                  <c:v>1.8365704909377381</c:v>
                </c:pt>
                <c:pt idx="693">
                  <c:v>1.8376935040901652</c:v>
                </c:pt>
                <c:pt idx="694">
                  <c:v>1.8388214301742267</c:v>
                </c:pt>
                <c:pt idx="695">
                  <c:v>1.8399543016357791</c:v>
                </c:pt>
                <c:pt idx="696">
                  <c:v>1.8410921512480787</c:v>
                </c:pt>
                <c:pt idx="697">
                  <c:v>1.8422350121161351</c:v>
                </c:pt>
                <c:pt idx="698">
                  <c:v>1.843382917681138</c:v>
                </c:pt>
                <c:pt idx="699">
                  <c:v>1.8445359017249585</c:v>
                </c:pt>
                <c:pt idx="700">
                  <c:v>1.8456939983747236</c:v>
                </c:pt>
                <c:pt idx="701">
                  <c:v>1.8468572421074703</c:v>
                </c:pt>
                <c:pt idx="702">
                  <c:v>1.8480256677548772</c:v>
                </c:pt>
                <c:pt idx="703">
                  <c:v>1.8491993105080742</c:v>
                </c:pt>
                <c:pt idx="704">
                  <c:v>1.8503782059225378</c:v>
                </c:pt>
                <c:pt idx="705">
                  <c:v>1.8515623899230658</c:v>
                </c:pt>
                <c:pt idx="706">
                  <c:v>1.8527518988088396</c:v>
                </c:pt>
                <c:pt idx="707">
                  <c:v>1.853946769258572</c:v>
                </c:pt>
                <c:pt idx="708">
                  <c:v>1.8551470383357442</c:v>
                </c:pt>
                <c:pt idx="709">
                  <c:v>1.8563527434939324</c:v>
                </c:pt>
                <c:pt idx="710">
                  <c:v>1.8575639225822289</c:v>
                </c:pt>
                <c:pt idx="711">
                  <c:v>1.8587806138507534</c:v>
                </c:pt>
                <c:pt idx="712">
                  <c:v>1.8600028559562656</c:v>
                </c:pt>
                <c:pt idx="713">
                  <c:v>1.8612306879678706</c:v>
                </c:pt>
                <c:pt idx="714">
                  <c:v>1.8624641493728291</c:v>
                </c:pt>
                <c:pt idx="715">
                  <c:v>1.8637032800824667</c:v>
                </c:pt>
                <c:pt idx="716">
                  <c:v>1.8649481204381906</c:v>
                </c:pt>
                <c:pt idx="717">
                  <c:v>1.8661987112176093</c:v>
                </c:pt>
                <c:pt idx="718">
                  <c:v>1.8674550936407668</c:v>
                </c:pt>
                <c:pt idx="719">
                  <c:v>1.8687173093764815</c:v>
                </c:pt>
                <c:pt idx="720">
                  <c:v>1.8699854005488044</c:v>
                </c:pt>
                <c:pt idx="721">
                  <c:v>1.8712594097435908</c:v>
                </c:pt>
                <c:pt idx="722">
                  <c:v>1.8725393800151917</c:v>
                </c:pt>
                <c:pt idx="723">
                  <c:v>1.8738253548932657</c:v>
                </c:pt>
                <c:pt idx="724">
                  <c:v>1.8751173783897153</c:v>
                </c:pt>
                <c:pt idx="725">
                  <c:v>1.8764154950057499</c:v>
                </c:pt>
                <c:pt idx="726">
                  <c:v>1.8777197497390785</c:v>
                </c:pt>
                <c:pt idx="727">
                  <c:v>1.8790301880912337</c:v>
                </c:pt>
                <c:pt idx="728">
                  <c:v>1.8803468560750327</c:v>
                </c:pt>
                <c:pt idx="729">
                  <c:v>1.8816698002221734</c:v>
                </c:pt>
                <c:pt idx="730">
                  <c:v>1.882999067590976</c:v>
                </c:pt>
                <c:pt idx="731">
                  <c:v>1.8843347057742661</c:v>
                </c:pt>
                <c:pt idx="732">
                  <c:v>1.8856767629074045</c:v>
                </c:pt>
                <c:pt idx="733">
                  <c:v>1.8870252876764726</c:v>
                </c:pt>
                <c:pt idx="734">
                  <c:v>1.8883803293266068</c:v>
                </c:pt>
                <c:pt idx="735">
                  <c:v>1.8897419376704956</c:v>
                </c:pt>
                <c:pt idx="736">
                  <c:v>1.8911101630970342</c:v>
                </c:pt>
                <c:pt idx="737">
                  <c:v>1.8924850565801468</c:v>
                </c:pt>
                <c:pt idx="738">
                  <c:v>1.8938666696877773</c:v>
                </c:pt>
                <c:pt idx="739">
                  <c:v>1.8952550545910534</c:v>
                </c:pt>
                <c:pt idx="740">
                  <c:v>1.8966502640736262</c:v>
                </c:pt>
                <c:pt idx="741">
                  <c:v>1.8980523515411916</c:v>
                </c:pt>
                <c:pt idx="742">
                  <c:v>1.8994613710311978</c:v>
                </c:pt>
                <c:pt idx="743">
                  <c:v>1.9008773772227416</c:v>
                </c:pt>
                <c:pt idx="744">
                  <c:v>1.9023004254466571</c:v>
                </c:pt>
                <c:pt idx="745">
                  <c:v>1.9037305716958068</c:v>
                </c:pt>
                <c:pt idx="746">
                  <c:v>1.9051678726355725</c:v>
                </c:pt>
                <c:pt idx="747">
                  <c:v>1.9066123856145551</c:v>
                </c:pt>
                <c:pt idx="748">
                  <c:v>1.9080641686754893</c:v>
                </c:pt>
                <c:pt idx="749">
                  <c:v>1.9095232805663744</c:v>
                </c:pt>
                <c:pt idx="750">
                  <c:v>1.9109897807518292</c:v>
                </c:pt>
                <c:pt idx="751">
                  <c:v>1.9124637294246756</c:v>
                </c:pt>
                <c:pt idx="752">
                  <c:v>1.9139451875177582</c:v>
                </c:pt>
                <c:pt idx="753">
                  <c:v>1.9154342167160006</c:v>
                </c:pt>
                <c:pt idx="754">
                  <c:v>1.9169308794687103</c:v>
                </c:pt>
                <c:pt idx="755">
                  <c:v>1.9184352390021353</c:v>
                </c:pt>
                <c:pt idx="756">
                  <c:v>1.9199473593322789</c:v>
                </c:pt>
                <c:pt idx="757">
                  <c:v>1.9214673052779767</c:v>
                </c:pt>
                <c:pt idx="758">
                  <c:v>1.9229951424742484</c:v>
                </c:pt>
                <c:pt idx="759">
                  <c:v>1.9245309373859254</c:v>
                </c:pt>
                <c:pt idx="760">
                  <c:v>1.9260747573215624</c:v>
                </c:pt>
                <c:pt idx="761">
                  <c:v>1.9276266704476441</c:v>
                </c:pt>
                <c:pt idx="762">
                  <c:v>1.9291867458030882</c:v>
                </c:pt>
                <c:pt idx="763">
                  <c:v>1.9307550533140563</c:v>
                </c:pt>
                <c:pt idx="764">
                  <c:v>1.9323316638090811</c:v>
                </c:pt>
                <c:pt idx="765">
                  <c:v>1.9339166490345137</c:v>
                </c:pt>
                <c:pt idx="766">
                  <c:v>1.9355100816703055</c:v>
                </c:pt>
                <c:pt idx="767">
                  <c:v>1.9371120353461253</c:v>
                </c:pt>
                <c:pt idx="768">
                  <c:v>1.9387225846578302</c:v>
                </c:pt>
                <c:pt idx="769">
                  <c:v>1.9403418051842891</c:v>
                </c:pt>
                <c:pt idx="770">
                  <c:v>1.941969773504576</c:v>
                </c:pt>
                <c:pt idx="771">
                  <c:v>1.9436065672155396</c:v>
                </c:pt>
                <c:pt idx="772">
                  <c:v>1.945252264949757</c:v>
                </c:pt>
                <c:pt idx="773">
                  <c:v>1.9469069463938886</c:v>
                </c:pt>
                <c:pt idx="774">
                  <c:v>1.9485706923074342</c:v>
                </c:pt>
                <c:pt idx="775">
                  <c:v>1.9502435845419137</c:v>
                </c:pt>
                <c:pt idx="776">
                  <c:v>1.95192570606047</c:v>
                </c:pt>
                <c:pt idx="777">
                  <c:v>1.9536171409579206</c:v>
                </c:pt>
                <c:pt idx="778">
                  <c:v>1.9553179744812543</c:v>
                </c:pt>
                <c:pt idx="779">
                  <c:v>1.9570282930505984</c:v>
                </c:pt>
                <c:pt idx="780">
                  <c:v>1.958748184280662</c:v>
                </c:pt>
                <c:pt idx="781">
                  <c:v>1.9604777370026689</c:v>
                </c:pt>
                <c:pt idx="782">
                  <c:v>1.962217041286797</c:v>
                </c:pt>
                <c:pt idx="783">
                  <c:v>1.9639661884651338</c:v>
                </c:pt>
                <c:pt idx="784">
                  <c:v>1.9657252711551685</c:v>
                </c:pt>
                <c:pt idx="785">
                  <c:v>1.9674943832838263</c:v>
                </c:pt>
                <c:pt idx="786">
                  <c:v>1.9692736201120704</c:v>
                </c:pt>
                <c:pt idx="787">
                  <c:v>1.9710630782600806</c:v>
                </c:pt>
                <c:pt idx="788">
                  <c:v>1.9728628557330286</c:v>
                </c:pt>
                <c:pt idx="789">
                  <c:v>1.9746730519474636</c:v>
                </c:pt>
                <c:pt idx="790">
                  <c:v>1.9764937677583296</c:v>
                </c:pt>
                <c:pt idx="791">
                  <c:v>1.9783251054866291</c:v>
                </c:pt>
                <c:pt idx="792">
                  <c:v>1.980167168947756</c:v>
                </c:pt>
                <c:pt idx="793">
                  <c:v>1.9820200634805096</c:v>
                </c:pt>
                <c:pt idx="794">
                  <c:v>1.9838838959768192</c:v>
                </c:pt>
                <c:pt idx="795">
                  <c:v>1.9857587749121932</c:v>
                </c:pt>
                <c:pt idx="796">
                  <c:v>1.9876448103769166</c:v>
                </c:pt>
                <c:pt idx="797">
                  <c:v>1.9895421141080174</c:v>
                </c:pt>
                <c:pt idx="798">
                  <c:v>1.9914507995220276</c:v>
                </c:pt>
                <c:pt idx="799">
                  <c:v>1.9933709817485608</c:v>
                </c:pt>
                <c:pt idx="800">
                  <c:v>1.9953027776647294</c:v>
                </c:pt>
                <c:pt idx="801">
                  <c:v>1.9972463059304293</c:v>
                </c:pt>
                <c:pt idx="802">
                  <c:v>1.9992016870245184</c:v>
                </c:pt>
                <c:pt idx="803">
                  <c:v>2.0011690432819136</c:v>
                </c:pt>
                <c:pt idx="804">
                  <c:v>2.0031484989316373</c:v>
                </c:pt>
                <c:pt idx="805">
                  <c:v>2.0051401801358377</c:v>
                </c:pt>
                <c:pt idx="806">
                  <c:v>2.0071442150298253</c:v>
                </c:pt>
                <c:pt idx="807">
                  <c:v>2.009160733763137</c:v>
                </c:pt>
                <c:pt idx="808">
                  <c:v>2.0111898685416807</c:v>
                </c:pt>
                <c:pt idx="809">
                  <c:v>2.0132317536709805</c:v>
                </c:pt>
                <c:pt idx="810">
                  <c:v>2.0152865256005645</c:v>
                </c:pt>
                <c:pt idx="811">
                  <c:v>2.0173543229695259</c:v>
                </c:pt>
                <c:pt idx="812">
                  <c:v>2.0194352866533012</c:v>
                </c:pt>
                <c:pt idx="813">
                  <c:v>2.0215295598116976</c:v>
                </c:pt>
                <c:pt idx="814">
                  <c:v>2.0236372879382185</c:v>
                </c:pt>
                <c:pt idx="815">
                  <c:v>2.0257586189107184</c:v>
                </c:pt>
                <c:pt idx="816">
                  <c:v>2.0278937030434401</c:v>
                </c:pt>
                <c:pt idx="817">
                  <c:v>2.0300426931404765</c:v>
                </c:pt>
                <c:pt idx="818">
                  <c:v>2.0322057445506996</c:v>
                </c:pt>
                <c:pt idx="819">
                  <c:v>2.0343830152242131</c:v>
                </c:pt>
                <c:pt idx="820">
                  <c:v>2.0365746657703712</c:v>
                </c:pt>
                <c:pt idx="821">
                  <c:v>2.0387808595174253</c:v>
                </c:pt>
                <c:pt idx="822">
                  <c:v>2.0410017625738437</c:v>
                </c:pt>
                <c:pt idx="823">
                  <c:v>2.0432375438913688</c:v>
                </c:pt>
                <c:pt idx="824">
                  <c:v>2.0454883753298647</c:v>
                </c:pt>
                <c:pt idx="825">
                  <c:v>2.0477544317240248</c:v>
                </c:pt>
                <c:pt idx="826">
                  <c:v>2.0500358909519942</c:v>
                </c:pt>
                <c:pt idx="827">
                  <c:v>2.0523329340059786</c:v>
                </c:pt>
                <c:pt idx="828">
                  <c:v>2.05464574506491</c:v>
                </c:pt>
                <c:pt idx="829">
                  <c:v>2.0569745115692379</c:v>
                </c:pt>
                <c:pt idx="830">
                  <c:v>2.0593194242979203</c:v>
                </c:pt>
                <c:pt idx="831">
                  <c:v>2.061680677447701</c:v>
                </c:pt>
                <c:pt idx="832">
                  <c:v>2.0640584687147414</c:v>
                </c:pt>
                <c:pt idx="833">
                  <c:v>2.0664529993787046</c:v>
                </c:pt>
                <c:pt idx="834">
                  <c:v>2.0688644743893692</c:v>
                </c:pt>
                <c:pt idx="835">
                  <c:v>2.0712931024558752</c:v>
                </c:pt>
                <c:pt idx="836">
                  <c:v>2.0737390961386879</c:v>
                </c:pt>
                <c:pt idx="837">
                  <c:v>2.0762026719443898</c:v>
                </c:pt>
                <c:pt idx="838">
                  <c:v>2.0786840504233948</c:v>
                </c:pt>
                <c:pt idx="839">
                  <c:v>2.0811834562707054</c:v>
                </c:pt>
                <c:pt idx="840">
                  <c:v>2.0837011184298162</c:v>
                </c:pt>
                <c:pt idx="841">
                  <c:v>2.0862372701998857</c:v>
                </c:pt>
                <c:pt idx="842">
                  <c:v>2.0887921493463075</c:v>
                </c:pt>
                <c:pt idx="843">
                  <c:v>2.0913659982147985</c:v>
                </c:pt>
                <c:pt idx="844">
                  <c:v>2.093959063849149</c:v>
                </c:pt>
                <c:pt idx="845">
                  <c:v>2.0965715981127704</c:v>
                </c:pt>
                <c:pt idx="846">
                  <c:v>2.0992038578141954</c:v>
                </c:pt>
                <c:pt idx="847">
                  <c:v>2.1018561048366751</c:v>
                </c:pt>
                <c:pt idx="848">
                  <c:v>2.1045286062720443</c:v>
                </c:pt>
                <c:pt idx="849">
                  <c:v>2.1072216345590191</c:v>
                </c:pt>
                <c:pt idx="850">
                  <c:v>2.1099354676261082</c:v>
                </c:pt>
                <c:pt idx="851">
                  <c:v>2.1126703890393159</c:v>
                </c:pt>
                <c:pt idx="852">
                  <c:v>2.11542668815484</c:v>
                </c:pt>
                <c:pt idx="853">
                  <c:v>2.1182046602769624</c:v>
                </c:pt>
                <c:pt idx="854">
                  <c:v>2.1210046068213475</c:v>
                </c:pt>
                <c:pt idx="855">
                  <c:v>2.1238268354839711</c:v>
                </c:pt>
                <c:pt idx="856">
                  <c:v>2.1266716604159166</c:v>
                </c:pt>
                <c:pt idx="857">
                  <c:v>2.1295394024042786</c:v>
                </c:pt>
                <c:pt idx="858">
                  <c:v>2.1324303890594396</c:v>
                </c:pt>
                <c:pt idx="859">
                  <c:v>2.1353449550089865</c:v>
                </c:pt>
                <c:pt idx="860">
                  <c:v>2.1382834420985461</c:v>
                </c:pt>
                <c:pt idx="861">
                  <c:v>2.1412461995998515</c:v>
                </c:pt>
                <c:pt idx="862">
                  <c:v>2.1442335844263338</c:v>
                </c:pt>
                <c:pt idx="863">
                  <c:v>2.1472459613565937</c:v>
                </c:pt>
                <c:pt idx="864">
                  <c:v>2.1502837032660689</c:v>
                </c:pt>
                <c:pt idx="865">
                  <c:v>2.1533471913672937</c:v>
                </c:pt>
                <c:pt idx="866">
                  <c:v>2.1564368154591076</c:v>
                </c:pt>
                <c:pt idx="867">
                  <c:v>2.1595529741852344</c:v>
                </c:pt>
                <c:pt idx="868">
                  <c:v>2.1626960753026463</c:v>
                </c:pt>
                <c:pt idx="869">
                  <c:v>2.1658665359601663</c:v>
                </c:pt>
                <c:pt idx="870">
                  <c:v>2.1690647829877778</c:v>
                </c:pt>
                <c:pt idx="871">
                  <c:v>2.1722912531971397</c:v>
                </c:pt>
                <c:pt idx="872">
                  <c:v>2.1755463936938306</c:v>
                </c:pt>
                <c:pt idx="873">
                  <c:v>2.1788306622018769</c:v>
                </c:pt>
                <c:pt idx="874">
                  <c:v>2.1821445274011464</c:v>
                </c:pt>
                <c:pt idx="875">
                  <c:v>2.1854884692782237</c:v>
                </c:pt>
                <c:pt idx="876">
                  <c:v>2.1888629794914225</c:v>
                </c:pt>
                <c:pt idx="877">
                  <c:v>2.1922685617506179</c:v>
                </c:pt>
                <c:pt idx="878">
                  <c:v>2.195705732212629</c:v>
                </c:pt>
                <c:pt idx="879">
                  <c:v>2.1991750198929201</c:v>
                </c:pt>
                <c:pt idx="880">
                  <c:v>2.2026769670944355</c:v>
                </c:pt>
                <c:pt idx="881">
                  <c:v>2.2062121298544302</c:v>
                </c:pt>
                <c:pt idx="882">
                  <c:v>2.2097810784102081</c:v>
                </c:pt>
                <c:pt idx="883">
                  <c:v>2.2133843976847349</c:v>
                </c:pt>
                <c:pt idx="884">
                  <c:v>2.2170226877931563</c:v>
                </c:pt>
                <c:pt idx="885">
                  <c:v>2.2206965645712979</c:v>
                </c:pt>
                <c:pt idx="886">
                  <c:v>2.2244066601273182</c:v>
                </c:pt>
                <c:pt idx="887">
                  <c:v>2.2281536234177244</c:v>
                </c:pt>
                <c:pt idx="888">
                  <c:v>2.2319381208490618</c:v>
                </c:pt>
                <c:pt idx="889">
                  <c:v>2.2357608369066599</c:v>
                </c:pt>
                <c:pt idx="890">
                  <c:v>2.2396224748119056</c:v>
                </c:pt>
                <c:pt idx="891">
                  <c:v>2.2435237572096098</c:v>
                </c:pt>
                <c:pt idx="892">
                  <c:v>2.247465426887135</c:v>
                </c:pt>
                <c:pt idx="893">
                  <c:v>2.2514482475270632</c:v>
                </c:pt>
                <c:pt idx="894">
                  <c:v>2.2554730044952853</c:v>
                </c:pt>
                <c:pt idx="895">
                  <c:v>2.2595405056665498</c:v>
                </c:pt>
                <c:pt idx="896">
                  <c:v>2.2636515822896071</c:v>
                </c:pt>
                <c:pt idx="897">
                  <c:v>2.2678070898942551</c:v>
                </c:pt>
                <c:pt idx="898">
                  <c:v>2.2720079092427521</c:v>
                </c:pt>
                <c:pt idx="899">
                  <c:v>2.2762549473282063</c:v>
                </c:pt>
                <c:pt idx="900">
                  <c:v>2.2805491384227703</c:v>
                </c:pt>
                <c:pt idx="901">
                  <c:v>2.2848914451786349</c:v>
                </c:pt>
                <c:pt idx="902">
                  <c:v>2.2892828597850512</c:v>
                </c:pt>
                <c:pt idx="903">
                  <c:v>2.2937244051848338</c:v>
                </c:pt>
                <c:pt idx="904">
                  <c:v>2.2982171363540451</c:v>
                </c:pt>
                <c:pt idx="905">
                  <c:v>2.3027621416488464</c:v>
                </c:pt>
                <c:pt idx="906">
                  <c:v>2.3073605442237763</c:v>
                </c:pt>
                <c:pt idx="907">
                  <c:v>2.3120135035260554</c:v>
                </c:pt>
                <c:pt idx="908">
                  <c:v>2.3167222168708519</c:v>
                </c:pt>
                <c:pt idx="909">
                  <c:v>2.3214879211028339</c:v>
                </c:pt>
                <c:pt idx="910">
                  <c:v>2.3263118943497219</c:v>
                </c:pt>
                <c:pt idx="911">
                  <c:v>2.3311954578740393</c:v>
                </c:pt>
                <c:pt idx="912">
                  <c:v>2.3361399780297134</c:v>
                </c:pt>
                <c:pt idx="913">
                  <c:v>2.3411468683307346</c:v>
                </c:pt>
                <c:pt idx="914">
                  <c:v>2.3462175916396566</c:v>
                </c:pt>
                <c:pt idx="915">
                  <c:v>2.3513536624843647</c:v>
                </c:pt>
                <c:pt idx="916">
                  <c:v>2.3565566495122252</c:v>
                </c:pt>
                <c:pt idx="917">
                  <c:v>2.3618281780915114</c:v>
                </c:pt>
                <c:pt idx="918">
                  <c:v>2.3671699330708282</c:v>
                </c:pt>
                <c:pt idx="919">
                  <c:v>2.3725836617081888</c:v>
                </c:pt>
                <c:pt idx="920">
                  <c:v>2.3780711767823957</c:v>
                </c:pt>
                <c:pt idx="921">
                  <c:v>2.3836343599005247</c:v>
                </c:pt>
                <c:pt idx="922">
                  <c:v>2.3892751650165027</c:v>
                </c:pt>
                <c:pt idx="923">
                  <c:v>2.3949956221771531</c:v>
                </c:pt>
                <c:pt idx="924">
                  <c:v>2.4007978415135809</c:v>
                </c:pt>
                <c:pt idx="925">
                  <c:v>2.4066840174974122</c:v>
                </c:pt>
                <c:pt idx="926">
                  <c:v>2.4126564334832521</c:v>
                </c:pt>
                <c:pt idx="927">
                  <c:v>2.4187174665607598</c:v>
                </c:pt>
                <c:pt idx="928">
                  <c:v>2.4248695927419996</c:v>
                </c:pt>
                <c:pt idx="929">
                  <c:v>2.4311153925122349</c:v>
                </c:pt>
                <c:pt idx="930">
                  <c:v>2.4374575567751466</c:v>
                </c:pt>
                <c:pt idx="931">
                  <c:v>2.4438988932265664</c:v>
                </c:pt>
                <c:pt idx="932">
                  <c:v>2.4504423331943097</c:v>
                </c:pt>
                <c:pt idx="933">
                  <c:v>2.4570909389855973</c:v>
                </c:pt>
                <c:pt idx="934">
                  <c:v>2.4638479117879144</c:v>
                </c:pt>
                <c:pt idx="935">
                  <c:v>2.4707166001740775</c:v>
                </c:pt>
                <c:pt idx="936">
                  <c:v>2.4777005092677808</c:v>
                </c:pt>
                <c:pt idx="937">
                  <c:v>2.484803310632107</c:v>
                </c:pt>
                <c:pt idx="938">
                  <c:v>2.4920288529504995</c:v>
                </c:pt>
                <c:pt idx="939">
                  <c:v>2.4993811735776017</c:v>
                </c:pt>
                <c:pt idx="940">
                  <c:v>2.5068645110463321</c:v>
                </c:pt>
                <c:pt idx="941">
                  <c:v>2.5144833186277489</c:v>
                </c:pt>
                <c:pt idx="942">
                  <c:v>2.5222422790518086</c:v>
                </c:pt>
                <c:pt idx="943">
                  <c:v>2.530146320510295</c:v>
                </c:pt>
                <c:pt idx="944">
                  <c:v>2.5382006340782493</c:v>
                </c:pt>
                <c:pt idx="945">
                  <c:v>2.5464106927074273</c:v>
                </c:pt>
                <c:pt idx="946">
                  <c:v>2.5547822719650508</c:v>
                </c:pt>
                <c:pt idx="947">
                  <c:v>2.5633214727138203</c:v>
                </c:pt>
                <c:pt idx="948">
                  <c:v>2.5720347459553001</c:v>
                </c:pt>
                <c:pt idx="949">
                  <c:v>2.5809289200889989</c:v>
                </c:pt>
                <c:pt idx="950">
                  <c:v>2.5900112308745009</c:v>
                </c:pt>
                <c:pt idx="951">
                  <c:v>2.5992893544246427</c:v>
                </c:pt>
                <c:pt idx="952">
                  <c:v>2.6087714436051432</c:v>
                </c:pt>
                <c:pt idx="953">
                  <c:v>2.6184661682714441</c:v>
                </c:pt>
                <c:pt idx="954">
                  <c:v>2.6283827598384422</c:v>
                </c:pt>
                <c:pt idx="955">
                  <c:v>2.6385310607551085</c:v>
                </c:pt>
                <c:pt idx="956">
                  <c:v>2.6489215795460619</c:v>
                </c:pt>
                <c:pt idx="957">
                  <c:v>2.6595655521887829</c:v>
                </c:pt>
                <c:pt idx="958">
                  <c:v>2.6704750107218995</c:v>
                </c:pt>
                <c:pt idx="959">
                  <c:v>2.6816628601311367</c:v>
                </c:pt>
                <c:pt idx="960">
                  <c:v>2.6931429647405927</c:v>
                </c:pt>
                <c:pt idx="961">
                  <c:v>2.7049302455547588</c:v>
                </c:pt>
                <c:pt idx="962">
                  <c:v>2.7170407902597695</c:v>
                </c:pt>
                <c:pt idx="963">
                  <c:v>2.7294919779115645</c:v>
                </c:pt>
                <c:pt idx="964">
                  <c:v>2.7423026207279286</c:v>
                </c:pt>
                <c:pt idx="965">
                  <c:v>2.7554931258783881</c:v>
                </c:pt>
                <c:pt idx="966">
                  <c:v>2.7690856807537467</c:v>
                </c:pt>
                <c:pt idx="967">
                  <c:v>2.7831044659253026</c:v>
                </c:pt>
                <c:pt idx="968">
                  <c:v>2.7975759009115069</c:v>
                </c:pt>
                <c:pt idx="969">
                  <c:v>2.8125289290083142</c:v>
                </c:pt>
                <c:pt idx="970">
                  <c:v>2.8279953488769043</c:v>
                </c:pt>
                <c:pt idx="971">
                  <c:v>2.8440102024101002</c:v>
                </c:pt>
                <c:pt idx="972">
                  <c:v>2.8606122307400939</c:v>
                </c:pt>
                <c:pt idx="973">
                  <c:v>2.8778444132732481</c:v>
                </c:pt>
                <c:pt idx="974">
                  <c:v>2.8957546085747352</c:v>
                </c:pt>
                <c:pt idx="975">
                  <c:v>2.9143963210994466</c:v>
                </c:pt>
                <c:pt idx="976">
                  <c:v>2.9338296246310245</c:v>
                </c:pt>
                <c:pt idx="977">
                  <c:v>2.9541222824967832</c:v>
                </c:pt>
                <c:pt idx="978">
                  <c:v>2.9753511171105202</c:v>
                </c:pt>
                <c:pt idx="979">
                  <c:v>2.9976036985323269</c:v>
                </c:pt>
                <c:pt idx="980">
                  <c:v>3.020980445571154</c:v>
                </c:pt>
                <c:pt idx="981">
                  <c:v>3.0455972665901743</c:v>
                </c:pt>
                <c:pt idx="982">
                  <c:v>3.0715889153839218</c:v>
                </c:pt>
                <c:pt idx="983">
                  <c:v>3.0991133077931132</c:v>
                </c:pt>
                <c:pt idx="984">
                  <c:v>3.1283571491875151</c:v>
                </c:pt>
                <c:pt idx="985">
                  <c:v>3.1595433814766234</c:v>
                </c:pt>
                <c:pt idx="986">
                  <c:v>3.1929412045688355</c:v>
                </c:pt>
                <c:pt idx="987">
                  <c:v>3.2288798198953037</c:v>
                </c:pt>
                <c:pt idx="988">
                  <c:v>3.2677676886192821</c:v>
                </c:pt>
                <c:pt idx="989">
                  <c:v>3.3101201928779274</c:v>
                </c:pt>
                <c:pt idx="990">
                  <c:v>3.3566005233611915</c:v>
                </c:pt>
                <c:pt idx="991">
                  <c:v>3.408082191094802</c:v>
                </c:pt>
                <c:pt idx="992">
                  <c:v>3.4657485255235985</c:v>
                </c:pt>
                <c:pt idx="993">
                  <c:v>3.5312589830524503</c:v>
                </c:pt>
                <c:pt idx="994">
                  <c:v>3.6070445634064834</c:v>
                </c:pt>
                <c:pt idx="995">
                  <c:v>3.6968750823937064</c:v>
                </c:pt>
                <c:pt idx="996">
                  <c:v>3.8070676764836953</c:v>
                </c:pt>
                <c:pt idx="997">
                  <c:v>3.9494678475237781</c:v>
                </c:pt>
                <c:pt idx="998">
                  <c:v>4.1506761595013693</c:v>
                </c:pt>
                <c:pt idx="999">
                  <c:v>4.495596395842151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E8-4FAD-B944-9DF1F97C5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9136"/>
        <c:axId val="230785024"/>
      </c:scatterChart>
      <c:valAx>
        <c:axId val="23077913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785024"/>
        <c:crosses val="autoZero"/>
        <c:crossBetween val="midCat"/>
      </c:valAx>
      <c:valAx>
        <c:axId val="23078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77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619710606457797"/>
          <c:y val="0.35861393730278102"/>
          <c:w val="0.20479431439750673"/>
          <c:h val="4.2135126367631011E-2"/>
        </c:manualLayout>
      </c:layout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'Near M=1'!$B$3:$B$44</c:f>
              <c:numCache>
                <c:formatCode>General</c:formatCode>
                <c:ptCount val="42"/>
                <c:pt idx="0">
                  <c:v>-304</c:v>
                </c:pt>
                <c:pt idx="1">
                  <c:v>-304.10000000000002</c:v>
                </c:pt>
                <c:pt idx="2">
                  <c:v>-304.20000000000005</c:v>
                </c:pt>
                <c:pt idx="3">
                  <c:v>-304.30000000000007</c:v>
                </c:pt>
                <c:pt idx="4">
                  <c:v>-304.40000000000009</c:v>
                </c:pt>
                <c:pt idx="5">
                  <c:v>-304.50000000000011</c:v>
                </c:pt>
                <c:pt idx="6">
                  <c:v>-304.60000000000014</c:v>
                </c:pt>
                <c:pt idx="7">
                  <c:v>-304.70000000000016</c:v>
                </c:pt>
                <c:pt idx="8">
                  <c:v>-304.80000000000018</c:v>
                </c:pt>
                <c:pt idx="9">
                  <c:v>-304.9000000000002</c:v>
                </c:pt>
                <c:pt idx="10">
                  <c:v>-305.00000000000023</c:v>
                </c:pt>
                <c:pt idx="11">
                  <c:v>-305.10000000000025</c:v>
                </c:pt>
                <c:pt idx="12">
                  <c:v>-305.20000000000027</c:v>
                </c:pt>
                <c:pt idx="13">
                  <c:v>-305.3000000000003</c:v>
                </c:pt>
                <c:pt idx="14">
                  <c:v>-305.40000000000032</c:v>
                </c:pt>
                <c:pt idx="15">
                  <c:v>-305.50000000000034</c:v>
                </c:pt>
                <c:pt idx="16">
                  <c:v>-305.60000000000036</c:v>
                </c:pt>
                <c:pt idx="17">
                  <c:v>-305.70000000000039</c:v>
                </c:pt>
                <c:pt idx="18">
                  <c:v>-305.80000000000041</c:v>
                </c:pt>
                <c:pt idx="19">
                  <c:v>-305.90000000000043</c:v>
                </c:pt>
                <c:pt idx="20">
                  <c:v>-306.00000000000045</c:v>
                </c:pt>
                <c:pt idx="21">
                  <c:v>-306.10000000000048</c:v>
                </c:pt>
                <c:pt idx="22">
                  <c:v>-306.2000000000005</c:v>
                </c:pt>
                <c:pt idx="23">
                  <c:v>-306.30000000000052</c:v>
                </c:pt>
                <c:pt idx="24">
                  <c:v>-306.40000000000055</c:v>
                </c:pt>
                <c:pt idx="25">
                  <c:v>-306.50000000000057</c:v>
                </c:pt>
                <c:pt idx="26">
                  <c:v>-306.60000000000059</c:v>
                </c:pt>
                <c:pt idx="27">
                  <c:v>-306.70000000000061</c:v>
                </c:pt>
                <c:pt idx="28">
                  <c:v>-306.80000000000064</c:v>
                </c:pt>
                <c:pt idx="29">
                  <c:v>-306.90000000000066</c:v>
                </c:pt>
                <c:pt idx="30">
                  <c:v>-307.00000000000068</c:v>
                </c:pt>
                <c:pt idx="31">
                  <c:v>-307.1000000000007</c:v>
                </c:pt>
                <c:pt idx="32">
                  <c:v>-307.20000000000073</c:v>
                </c:pt>
                <c:pt idx="33">
                  <c:v>-307.30000000000075</c:v>
                </c:pt>
                <c:pt idx="34">
                  <c:v>-307.40000000000077</c:v>
                </c:pt>
                <c:pt idx="35">
                  <c:v>-307.5000000000008</c:v>
                </c:pt>
                <c:pt idx="36">
                  <c:v>-307.60000000000082</c:v>
                </c:pt>
                <c:pt idx="37">
                  <c:v>-307.70000000000084</c:v>
                </c:pt>
                <c:pt idx="38">
                  <c:v>-307.80000000000086</c:v>
                </c:pt>
                <c:pt idx="39">
                  <c:v>-307.90000000000089</c:v>
                </c:pt>
                <c:pt idx="40">
                  <c:v>-308.00000000000091</c:v>
                </c:pt>
                <c:pt idx="41">
                  <c:v>-308.10000000000093</c:v>
                </c:pt>
              </c:numCache>
            </c:numRef>
          </c:xVal>
          <c:yVal>
            <c:numRef>
              <c:f>'Near M=1'!$C$3:$C$44</c:f>
              <c:numCache>
                <c:formatCode>General</c:formatCode>
                <c:ptCount val="42"/>
                <c:pt idx="0">
                  <c:v>351.37922849621486</c:v>
                </c:pt>
                <c:pt idx="1">
                  <c:v>351.49435775086459</c:v>
                </c:pt>
                <c:pt idx="2">
                  <c:v>351.60948700551432</c:v>
                </c:pt>
                <c:pt idx="3">
                  <c:v>351.72461626016405</c:v>
                </c:pt>
                <c:pt idx="4">
                  <c:v>351.83974551481379</c:v>
                </c:pt>
                <c:pt idx="5">
                  <c:v>351.95487476946352</c:v>
                </c:pt>
                <c:pt idx="6">
                  <c:v>352.07000402411325</c:v>
                </c:pt>
                <c:pt idx="7">
                  <c:v>352.18513327876298</c:v>
                </c:pt>
                <c:pt idx="8">
                  <c:v>352.30026253341271</c:v>
                </c:pt>
                <c:pt idx="9">
                  <c:v>352.41539178806244</c:v>
                </c:pt>
                <c:pt idx="10">
                  <c:v>352.53052104271217</c:v>
                </c:pt>
                <c:pt idx="11">
                  <c:v>352.6456502973619</c:v>
                </c:pt>
                <c:pt idx="12">
                  <c:v>352.76077955201163</c:v>
                </c:pt>
                <c:pt idx="13">
                  <c:v>352.87590880666136</c:v>
                </c:pt>
                <c:pt idx="14">
                  <c:v>352.99103806131109</c:v>
                </c:pt>
                <c:pt idx="15">
                  <c:v>353.10616731596082</c:v>
                </c:pt>
                <c:pt idx="16">
                  <c:v>353.22129657061055</c:v>
                </c:pt>
                <c:pt idx="17">
                  <c:v>353.33642582526028</c:v>
                </c:pt>
                <c:pt idx="18">
                  <c:v>353.45155507991001</c:v>
                </c:pt>
                <c:pt idx="19">
                  <c:v>353.56668433455974</c:v>
                </c:pt>
                <c:pt idx="20">
                  <c:v>353.68181358920947</c:v>
                </c:pt>
                <c:pt idx="21">
                  <c:v>353.79694284385914</c:v>
                </c:pt>
                <c:pt idx="22">
                  <c:v>353.91207209850887</c:v>
                </c:pt>
                <c:pt idx="23">
                  <c:v>354.0272013531586</c:v>
                </c:pt>
                <c:pt idx="24">
                  <c:v>354.14233060780833</c:v>
                </c:pt>
                <c:pt idx="25">
                  <c:v>354.25745986245806</c:v>
                </c:pt>
                <c:pt idx="26">
                  <c:v>354.37258911710779</c:v>
                </c:pt>
                <c:pt idx="27">
                  <c:v>354.48771837175752</c:v>
                </c:pt>
                <c:pt idx="28">
                  <c:v>354.60284762640725</c:v>
                </c:pt>
                <c:pt idx="29">
                  <c:v>354.71797688105698</c:v>
                </c:pt>
                <c:pt idx="30">
                  <c:v>354.83310613570671</c:v>
                </c:pt>
                <c:pt idx="31">
                  <c:v>354.94823539035644</c:v>
                </c:pt>
                <c:pt idx="32">
                  <c:v>355.06336464500617</c:v>
                </c:pt>
                <c:pt idx="33">
                  <c:v>355.1784938996559</c:v>
                </c:pt>
                <c:pt idx="34">
                  <c:v>355.29362315430564</c:v>
                </c:pt>
                <c:pt idx="35">
                  <c:v>355.40875240895537</c:v>
                </c:pt>
                <c:pt idx="36">
                  <c:v>355.5238816636051</c:v>
                </c:pt>
                <c:pt idx="37">
                  <c:v>700</c:v>
                </c:pt>
                <c:pt idx="38">
                  <c:v>700</c:v>
                </c:pt>
                <c:pt idx="39">
                  <c:v>700</c:v>
                </c:pt>
                <c:pt idx="40">
                  <c:v>700</c:v>
                </c:pt>
                <c:pt idx="41">
                  <c:v>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B8-4FAC-B789-7306289F4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03808"/>
        <c:axId val="230906496"/>
      </c:scatterChart>
      <c:valAx>
        <c:axId val="230903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906496"/>
        <c:crosses val="autoZero"/>
        <c:crossBetween val="midCat"/>
      </c:valAx>
      <c:valAx>
        <c:axId val="23090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90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233361</xdr:colOff>
      <xdr:row>3</xdr:row>
      <xdr:rowOff>180974</xdr:rowOff>
    </xdr:from>
    <xdr:to>
      <xdr:col>18</xdr:col>
      <xdr:colOff>428624</xdr:colOff>
      <xdr:row>39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0.66649</cdr:x>
      <cdr:y>0.66443</cdr:y>
    </cdr:from>
    <cdr:to>
      <cdr:x>0.96864</cdr:x>
      <cdr:y>0.7047</cdr:y>
    </cdr:to>
    <cdr:sp macro="" textlink="Main!$K$5">
      <cdr:nvSpPr>
        <cdr:cNvPr id="2" name="TextBox 1"/>
        <cdr:cNvSpPr txBox="1"/>
      </cdr:nvSpPr>
      <cdr:spPr>
        <a:xfrm xmlns:a="http://schemas.openxmlformats.org/drawingml/2006/main">
          <a:off x="6072189" y="4714877"/>
          <a:ext cx="2752725" cy="28575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67000"/>
          </a:schemeClr>
        </a:solidFill>
        <a:ln xmlns:a="http://schemas.openxmlformats.org/drawingml/2006/main" w="15875">
          <a:solidFill>
            <a:schemeClr val="tx1"/>
          </a:solidFill>
        </a:ln>
      </cdr:spPr>
      <cdr:txBody>
        <a:bodyPr xmlns:a="http://schemas.openxmlformats.org/drawingml/2006/main" vertOverflow="clip" wrap="square" rtlCol="0" anchor="ctr" anchorCtr="1"/>
        <a:lstStyle xmlns:a="http://schemas.openxmlformats.org/drawingml/2006/main"/>
        <a:p xmlns:a="http://schemas.openxmlformats.org/drawingml/2006/main">
          <a:fld id="{8A56F053-5DCF-4502-B232-4599D9B0FA62}" type="TxLink">
            <a:rPr lang="en-US" sz="1200" b="0" i="0" u="none" strike="noStrike">
              <a:solidFill>
                <a:srgbClr val="000000"/>
              </a:solidFill>
              <a:latin typeface="Calibri"/>
            </a:rPr>
            <a:pPr/>
            <a:t>Parameter 0.8   Period 9.028821</a:t>
          </a:fld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214311</xdr:colOff>
      <xdr:row>3</xdr:row>
      <xdr:rowOff>33337</xdr:rowOff>
    </xdr:from>
    <xdr:to>
      <xdr:col>18</xdr:col>
      <xdr:colOff>390524</xdr:colOff>
      <xdr:row>33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190499</xdr:colOff>
      <xdr:row>34</xdr:row>
      <xdr:rowOff>161924</xdr:rowOff>
    </xdr:from>
    <xdr:to>
      <xdr:col>18</xdr:col>
      <xdr:colOff>352425</xdr:colOff>
      <xdr:row>63</xdr:row>
      <xdr:rowOff>104774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100011</xdr:colOff>
      <xdr:row>2</xdr:row>
      <xdr:rowOff>28574</xdr:rowOff>
    </xdr:from>
    <xdr:to>
      <xdr:col>12</xdr:col>
      <xdr:colOff>219074</xdr:colOff>
      <xdr:row>25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204"/>
  <sheetViews>
    <sheetView tabSelected="1" zoomScale="92" zoomScaleNormal="92" workbookViewId="0"/>
  </sheetViews>
  <sheetFormatPr defaultRowHeight="15.6" x14ac:dyDescent="0.3"/>
  <cols>
    <col min="7" max="7" width="11.69921875" customWidth="1"/>
    <col min="10" max="10" width="11.8984375" customWidth="1"/>
  </cols>
  <sheetData>
    <row r="1" spans="1:14" ht="29.4" thickBot="1" x14ac:dyDescent="0.6">
      <c r="A1" s="1" t="s">
        <v>1</v>
      </c>
      <c r="F1" s="3"/>
    </row>
    <row r="2" spans="1:14" ht="16.8" thickTop="1" thickBot="1" x14ac:dyDescent="0.35">
      <c r="A2" t="s">
        <v>3</v>
      </c>
      <c r="D2" s="2" t="s">
        <v>4</v>
      </c>
      <c r="E2" s="4">
        <v>10</v>
      </c>
      <c r="F2" s="2" t="s">
        <v>2</v>
      </c>
      <c r="G2" s="11">
        <v>0.8</v>
      </c>
      <c r="I2" s="6" t="s">
        <v>5</v>
      </c>
      <c r="J2" s="7">
        <f xml:space="preserve"> 4 * jacobiCycleOvr4(m)</f>
        <v>9.0288213072834136</v>
      </c>
      <c r="M2" s="6" t="s">
        <v>12</v>
      </c>
      <c r="N2" s="7" t="str">
        <f ca="1">EllipticsVersion(NOW())</f>
        <v>2014-07-23</v>
      </c>
    </row>
    <row r="3" spans="1:14" ht="16.2" thickTop="1" x14ac:dyDescent="0.3"/>
    <row r="4" spans="1:14" x14ac:dyDescent="0.3">
      <c r="B4" s="5" t="s">
        <v>0</v>
      </c>
      <c r="C4" s="5" t="s">
        <v>17</v>
      </c>
      <c r="D4" s="10" t="s">
        <v>18</v>
      </c>
      <c r="E4" s="5" t="s">
        <v>19</v>
      </c>
    </row>
    <row r="5" spans="1:14" x14ac:dyDescent="0.3">
      <c r="B5">
        <f>xM/400</f>
        <v>2.5000000000000001E-2</v>
      </c>
      <c r="C5">
        <f t="shared" ref="C5:C36" si="0">jacobiSn(B5, m)</f>
        <v>2.4995313544684681E-2</v>
      </c>
      <c r="D5">
        <f t="shared" ref="D5:D36" si="1">jacobiCn(B5, m)</f>
        <v>0.99968756834363148</v>
      </c>
      <c r="E5">
        <f t="shared" ref="E5:E36" si="2">jacobidn(B5, m)</f>
        <v>0.99975006248594067</v>
      </c>
      <c r="J5" t="s">
        <v>16</v>
      </c>
      <c r="K5" t="str">
        <f>"Parameter " &amp; m &amp; "   Period " &amp; ROUND($J$2, 6)</f>
        <v>Parameter 0.8   Period 9.028821</v>
      </c>
    </row>
    <row r="6" spans="1:14" x14ac:dyDescent="0.3">
      <c r="B6">
        <f t="shared" ref="B6:B37" si="3">B5+xM/200</f>
        <v>7.5000000000000011E-2</v>
      </c>
      <c r="C6">
        <f t="shared" si="0"/>
        <v>7.4873690898201631E-2</v>
      </c>
      <c r="D6">
        <f t="shared" si="1"/>
        <v>0.99719302565314838</v>
      </c>
      <c r="E6">
        <f t="shared" si="2"/>
        <v>0.99775505226935557</v>
      </c>
    </row>
    <row r="7" spans="1:14" x14ac:dyDescent="0.3">
      <c r="B7">
        <f t="shared" si="3"/>
        <v>0.125</v>
      </c>
      <c r="C7">
        <f t="shared" si="0"/>
        <v>0.12441730945001636</v>
      </c>
      <c r="D7">
        <f t="shared" si="1"/>
        <v>0.99222997994881146</v>
      </c>
      <c r="E7">
        <f t="shared" si="2"/>
        <v>0.99378884401434853</v>
      </c>
    </row>
    <row r="8" spans="1:14" x14ac:dyDescent="0.3">
      <c r="B8">
        <f t="shared" si="3"/>
        <v>0.17499999999999999</v>
      </c>
      <c r="C8">
        <f t="shared" si="0"/>
        <v>0.17340955626184257</v>
      </c>
      <c r="D8">
        <f t="shared" si="1"/>
        <v>0.98484979859726374</v>
      </c>
      <c r="E8">
        <f t="shared" si="2"/>
        <v>0.98789842627552382</v>
      </c>
    </row>
    <row r="9" spans="1:14" x14ac:dyDescent="0.3">
      <c r="B9">
        <f t="shared" si="3"/>
        <v>0.22499999999999998</v>
      </c>
      <c r="C9">
        <f t="shared" si="0"/>
        <v>0.22164339979065489</v>
      </c>
      <c r="D9">
        <f t="shared" si="1"/>
        <v>0.97512778820482804</v>
      </c>
      <c r="E9">
        <f t="shared" si="2"/>
        <v>0.98015272415241084</v>
      </c>
    </row>
    <row r="10" spans="1:14" x14ac:dyDescent="0.3">
      <c r="B10">
        <f t="shared" si="3"/>
        <v>0.27499999999999997</v>
      </c>
      <c r="C10">
        <f t="shared" si="0"/>
        <v>0.26892472331834416</v>
      </c>
      <c r="D10">
        <f t="shared" si="1"/>
        <v>0.96316119792491228</v>
      </c>
      <c r="E10">
        <f t="shared" si="2"/>
        <v>0.97064081644577549</v>
      </c>
    </row>
    <row r="11" spans="1:14" x14ac:dyDescent="0.3">
      <c r="B11">
        <f t="shared" si="3"/>
        <v>0.32499999999999996</v>
      </c>
      <c r="C11">
        <f t="shared" si="0"/>
        <v>0.31507519696306191</v>
      </c>
      <c r="D11">
        <f t="shared" si="1"/>
        <v>0.94906671012036226</v>
      </c>
      <c r="E11">
        <f t="shared" si="2"/>
        <v>0.95946969530410398</v>
      </c>
    </row>
    <row r="12" spans="1:14" x14ac:dyDescent="0.3">
      <c r="B12">
        <f t="shared" si="3"/>
        <v>0.37499999999999994</v>
      </c>
      <c r="C12">
        <f t="shared" si="0"/>
        <v>0.35993460628703261</v>
      </c>
      <c r="D12">
        <f t="shared" si="1"/>
        <v>0.93297753413305662</v>
      </c>
      <c r="E12">
        <f t="shared" si="2"/>
        <v>0.94676167188875948</v>
      </c>
    </row>
    <row r="13" spans="1:14" x14ac:dyDescent="0.3">
      <c r="B13">
        <f t="shared" si="3"/>
        <v>0.42499999999999993</v>
      </c>
      <c r="C13">
        <f t="shared" si="0"/>
        <v>0.40336258644103418</v>
      </c>
      <c r="D13">
        <f t="shared" si="1"/>
        <v>0.91504023073283469</v>
      </c>
      <c r="E13">
        <f t="shared" si="2"/>
        <v>0.93265154215691903</v>
      </c>
    </row>
    <row r="14" spans="1:14" x14ac:dyDescent="0.3">
      <c r="B14">
        <f t="shared" si="3"/>
        <v>0.47499999999999992</v>
      </c>
      <c r="C14">
        <f t="shared" si="0"/>
        <v>0.44523974245495496</v>
      </c>
      <c r="D14">
        <f t="shared" si="1"/>
        <v>0.89541139803927294</v>
      </c>
      <c r="E14">
        <f t="shared" si="2"/>
        <v>0.91728362974105038</v>
      </c>
    </row>
    <row r="15" spans="1:14" x14ac:dyDescent="0.3">
      <c r="B15">
        <f t="shared" si="3"/>
        <v>0.52499999999999991</v>
      </c>
      <c r="C15">
        <f t="shared" si="0"/>
        <v>0.48546816627745309</v>
      </c>
      <c r="D15">
        <f t="shared" si="1"/>
        <v>0.87425434487408027</v>
      </c>
      <c r="E15">
        <f t="shared" si="2"/>
        <v>0.90080881857637574</v>
      </c>
    </row>
    <row r="16" spans="1:14" x14ac:dyDescent="0.3">
      <c r="B16">
        <f t="shared" si="3"/>
        <v>0.57499999999999996</v>
      </c>
      <c r="C16">
        <f t="shared" si="0"/>
        <v>0.52397138747450678</v>
      </c>
      <c r="D16">
        <f t="shared" si="1"/>
        <v>0.85173586581054594</v>
      </c>
      <c r="E16">
        <f t="shared" si="2"/>
        <v>0.88338167746814411</v>
      </c>
    </row>
    <row r="17" spans="2:5" x14ac:dyDescent="0.3">
      <c r="B17">
        <f t="shared" si="3"/>
        <v>0.625</v>
      </c>
      <c r="C17">
        <f t="shared" si="0"/>
        <v>0.56069381567388055</v>
      </c>
      <c r="D17">
        <f t="shared" si="1"/>
        <v>0.8280232152935475</v>
      </c>
      <c r="E17">
        <f t="shared" si="2"/>
        <v>0.86515776367784603</v>
      </c>
    </row>
    <row r="18" spans="2:5" x14ac:dyDescent="0.3">
      <c r="B18">
        <f t="shared" si="3"/>
        <v>0.67500000000000004</v>
      </c>
      <c r="C18">
        <f t="shared" si="0"/>
        <v>0.59559974808467553</v>
      </c>
      <c r="D18">
        <f t="shared" si="1"/>
        <v>0.80328135798204037</v>
      </c>
      <c r="E18">
        <f t="shared" si="2"/>
        <v>0.84629117451688973</v>
      </c>
    </row>
    <row r="19" spans="2:5" x14ac:dyDescent="0.3">
      <c r="B19">
        <f t="shared" si="3"/>
        <v>0.72500000000000009</v>
      </c>
      <c r="C19">
        <f t="shared" si="0"/>
        <v>0.62867202454180626</v>
      </c>
      <c r="D19">
        <f t="shared" si="1"/>
        <v>0.777670550785168</v>
      </c>
      <c r="E19">
        <f t="shared" si="2"/>
        <v>0.82693239653964778</v>
      </c>
    </row>
    <row r="20" spans="2:5" x14ac:dyDescent="0.3">
      <c r="B20">
        <f t="shared" si="3"/>
        <v>0.77500000000000013</v>
      </c>
      <c r="C20">
        <f t="shared" si="0"/>
        <v>0.65991041587030808</v>
      </c>
      <c r="D20">
        <f t="shared" si="1"/>
        <v>0.75134429060576291</v>
      </c>
      <c r="E20">
        <f t="shared" si="2"/>
        <v>0.80722648273003383</v>
      </c>
    </row>
    <row r="21" spans="2:5" x14ac:dyDescent="0.3">
      <c r="B21">
        <f t="shared" si="3"/>
        <v>0.82500000000000018</v>
      </c>
      <c r="C21">
        <f t="shared" si="0"/>
        <v>0.68932982968111767</v>
      </c>
      <c r="D21">
        <f t="shared" si="1"/>
        <v>0.72444764193956845</v>
      </c>
      <c r="E21">
        <f t="shared" si="2"/>
        <v>0.78731157030075516</v>
      </c>
    </row>
    <row r="22" spans="2:5" x14ac:dyDescent="0.3">
      <c r="B22">
        <f t="shared" si="3"/>
        <v>0.87500000000000022</v>
      </c>
      <c r="C22">
        <f t="shared" si="0"/>
        <v>0.71695841199836829</v>
      </c>
      <c r="D22">
        <f t="shared" si="1"/>
        <v>0.69711594119255227</v>
      </c>
      <c r="E22">
        <f t="shared" si="2"/>
        <v>0.76731773625521149</v>
      </c>
    </row>
    <row r="23" spans="2:5" x14ac:dyDescent="0.3">
      <c r="B23">
        <f t="shared" si="3"/>
        <v>0.92500000000000027</v>
      </c>
      <c r="C23">
        <f t="shared" si="0"/>
        <v>0.7428356144869962</v>
      </c>
      <c r="D23">
        <f t="shared" si="1"/>
        <v>0.66947386046785029</v>
      </c>
      <c r="E23">
        <f t="shared" si="2"/>
        <v>0.74736617523124593</v>
      </c>
    </row>
    <row r="24" spans="2:5" x14ac:dyDescent="0.3">
      <c r="B24">
        <f t="shared" si="3"/>
        <v>0.97500000000000031</v>
      </c>
      <c r="C24">
        <f t="shared" si="0"/>
        <v>0.76701028659356674</v>
      </c>
      <c r="D24">
        <f t="shared" si="1"/>
        <v>0.6416348028743879</v>
      </c>
      <c r="E24">
        <f t="shared" si="2"/>
        <v>0.72756867456462393</v>
      </c>
    </row>
    <row r="25" spans="2:5" x14ac:dyDescent="0.3">
      <c r="B25">
        <f t="shared" si="3"/>
        <v>1.0250000000000004</v>
      </c>
      <c r="C25">
        <f t="shared" si="0"/>
        <v>0.78953884062202628</v>
      </c>
      <c r="D25">
        <f t="shared" si="1"/>
        <v>0.61370059405969823</v>
      </c>
      <c r="E25">
        <f t="shared" si="2"/>
        <v>0.70802735492308566</v>
      </c>
    </row>
    <row r="26" spans="2:5" x14ac:dyDescent="0.3">
      <c r="B26">
        <f t="shared" si="3"/>
        <v>1.0750000000000004</v>
      </c>
      <c r="C26">
        <f t="shared" si="0"/>
        <v>0.81048352646500799</v>
      </c>
      <c r="D26">
        <f t="shared" si="1"/>
        <v>0.58576143038684669</v>
      </c>
      <c r="E26">
        <f t="shared" si="2"/>
        <v>0.68883464101558922</v>
      </c>
    </row>
    <row r="27" spans="2:5" x14ac:dyDescent="0.3">
      <c r="B27">
        <f t="shared" si="3"/>
        <v>1.1250000000000004</v>
      </c>
      <c r="C27">
        <f t="shared" si="0"/>
        <v>0.82991084203439891</v>
      </c>
      <c r="D27">
        <f t="shared" si="1"/>
        <v>0.55789604253279568</v>
      </c>
      <c r="E27">
        <f t="shared" si="2"/>
        <v>0.67007342539381753</v>
      </c>
    </row>
    <row r="28" spans="2:5" x14ac:dyDescent="0.3">
      <c r="B28">
        <f t="shared" si="3"/>
        <v>1.1750000000000005</v>
      </c>
      <c r="C28">
        <f t="shared" si="0"/>
        <v>0.84789009582281993</v>
      </c>
      <c r="D28">
        <f t="shared" si="1"/>
        <v>0.53017203378296873</v>
      </c>
      <c r="E28">
        <f t="shared" si="2"/>
        <v>0.65181738878650319</v>
      </c>
    </row>
    <row r="29" spans="2:5" x14ac:dyDescent="0.3">
      <c r="B29">
        <f t="shared" si="3"/>
        <v>1.2250000000000005</v>
      </c>
      <c r="C29">
        <f t="shared" si="0"/>
        <v>0.86449212974409584</v>
      </c>
      <c r="D29">
        <f t="shared" si="1"/>
        <v>0.50264635441880734</v>
      </c>
      <c r="E29">
        <f t="shared" si="2"/>
        <v>0.63413144228023721</v>
      </c>
    </row>
    <row r="30" spans="2:5" x14ac:dyDescent="0.3">
      <c r="B30">
        <f t="shared" si="3"/>
        <v>1.2750000000000006</v>
      </c>
      <c r="C30">
        <f t="shared" si="0"/>
        <v>0.87978820355968002</v>
      </c>
      <c r="D30">
        <f t="shared" si="1"/>
        <v>0.47536587685406179</v>
      </c>
      <c r="E30">
        <f t="shared" si="2"/>
        <v>0.61707225954646894</v>
      </c>
    </row>
    <row r="31" spans="2:5" x14ac:dyDescent="0.3">
      <c r="B31">
        <f t="shared" si="3"/>
        <v>1.3250000000000006</v>
      </c>
      <c r="C31">
        <f t="shared" si="0"/>
        <v>0.89384903679618088</v>
      </c>
      <c r="D31">
        <f t="shared" si="1"/>
        <v>0.44836804013950354</v>
      </c>
      <c r="E31">
        <f t="shared" si="2"/>
        <v>0.60068887082651323</v>
      </c>
    </row>
    <row r="32" spans="2:5" x14ac:dyDescent="0.3">
      <c r="B32">
        <f t="shared" si="3"/>
        <v>1.3750000000000007</v>
      </c>
      <c r="C32">
        <f t="shared" si="0"/>
        <v>0.90674400000908451</v>
      </c>
      <c r="D32">
        <f t="shared" si="1"/>
        <v>0.42168153676385384</v>
      </c>
      <c r="E32">
        <f t="shared" si="2"/>
        <v>0.58502329420119703</v>
      </c>
    </row>
    <row r="33" spans="2:5" x14ac:dyDescent="0.3">
      <c r="B33">
        <f t="shared" si="3"/>
        <v>1.4250000000000007</v>
      </c>
      <c r="C33">
        <f t="shared" si="0"/>
        <v>0.91854044440742133</v>
      </c>
      <c r="D33">
        <f t="shared" si="1"/>
        <v>0.39532701904602624</v>
      </c>
      <c r="E33">
        <f t="shared" si="2"/>
        <v>0.57011118353375057</v>
      </c>
    </row>
    <row r="34" spans="2:5" x14ac:dyDescent="0.3">
      <c r="B34">
        <f t="shared" si="3"/>
        <v>1.4750000000000008</v>
      </c>
      <c r="C34">
        <f t="shared" si="0"/>
        <v>0.92930315705208943</v>
      </c>
      <c r="D34">
        <f t="shared" si="1"/>
        <v>0.36931780662868069</v>
      </c>
      <c r="E34">
        <f t="shared" si="2"/>
        <v>0.55598247619364372</v>
      </c>
    </row>
    <row r="35" spans="2:5" x14ac:dyDescent="0.3">
      <c r="B35">
        <f t="shared" si="3"/>
        <v>1.5250000000000008</v>
      </c>
      <c r="C35">
        <f t="shared" si="0"/>
        <v>0.93909392789567314</v>
      </c>
      <c r="D35">
        <f t="shared" si="1"/>
        <v>0.3436605804998239</v>
      </c>
      <c r="E35">
        <f t="shared" si="2"/>
        <v>0.54266202711409672</v>
      </c>
    </row>
    <row r="36" spans="2:5" x14ac:dyDescent="0.3">
      <c r="B36">
        <f t="shared" si="3"/>
        <v>1.5750000000000008</v>
      </c>
      <c r="C36">
        <f t="shared" si="0"/>
        <v>0.9479712146673781</v>
      </c>
      <c r="D36">
        <f t="shared" si="1"/>
        <v>0.3183560524979156</v>
      </c>
      <c r="E36">
        <f t="shared" si="2"/>
        <v>0.5301702188256564</v>
      </c>
    </row>
    <row r="37" spans="2:5" x14ac:dyDescent="0.3">
      <c r="B37">
        <f t="shared" si="3"/>
        <v>1.6250000000000009</v>
      </c>
      <c r="C37">
        <f t="shared" ref="C37:C68" si="4">jacobiSn(B37, m)</f>
        <v>0.9559898918607157</v>
      </c>
      <c r="D37">
        <f t="shared" ref="D37:D68" si="5">jacobiCn(B37, m)</f>
        <v>0.29339960235170287</v>
      </c>
      <c r="E37">
        <f t="shared" ref="E37:E68" si="6">jacobidn(B37, m)</f>
        <v>0.51852353980133814</v>
      </c>
    </row>
    <row r="38" spans="2:5" x14ac:dyDescent="0.3">
      <c r="B38">
        <f t="shared" ref="B38:B69" si="7">B37+xM/200</f>
        <v>1.6750000000000009</v>
      </c>
      <c r="C38">
        <f t="shared" si="4"/>
        <v>0.96320107071100325</v>
      </c>
      <c r="D38">
        <f t="shared" si="5"/>
        <v>0.26878187695820793</v>
      </c>
      <c r="E38">
        <f t="shared" si="6"/>
        <v>0.5077351257348085</v>
      </c>
    </row>
    <row r="39" spans="2:5" x14ac:dyDescent="0.3">
      <c r="B39">
        <f t="shared" si="7"/>
        <v>1.725000000000001</v>
      </c>
      <c r="C39">
        <f t="shared" si="4"/>
        <v>0.96965197793389235</v>
      </c>
      <c r="D39">
        <f t="shared" si="5"/>
        <v>0.24448934882503609</v>
      </c>
      <c r="E39">
        <f t="shared" si="6"/>
        <v>0.4978152602633954</v>
      </c>
    </row>
    <row r="40" spans="2:5" x14ac:dyDescent="0.3">
      <c r="B40">
        <f t="shared" si="7"/>
        <v>1.775000000000001</v>
      </c>
      <c r="C40">
        <f t="shared" si="4"/>
        <v>0.97538588203657806</v>
      </c>
      <c r="D40">
        <f t="shared" si="5"/>
        <v>0.22050483242715244</v>
      </c>
      <c r="E40">
        <f t="shared" si="6"/>
        <v>0.48877183316858719</v>
      </c>
    </row>
    <row r="41" spans="2:5" x14ac:dyDescent="0.3">
      <c r="B41">
        <f t="shared" si="7"/>
        <v>1.8250000000000011</v>
      </c>
      <c r="C41">
        <f t="shared" si="4"/>
        <v>0.98044205713272181</v>
      </c>
      <c r="D41">
        <f t="shared" si="5"/>
        <v>0.19680795869414616</v>
      </c>
      <c r="E41">
        <f t="shared" si="6"/>
        <v>0.48061075527321001</v>
      </c>
    </row>
    <row r="42" spans="2:5" x14ac:dyDescent="0.3">
      <c r="B42">
        <f t="shared" si="7"/>
        <v>1.8750000000000011</v>
      </c>
      <c r="C42">
        <f t="shared" si="4"/>
        <v>0.98485577533201807</v>
      </c>
      <c r="D42">
        <f t="shared" si="5"/>
        <v>0.17337560899725576</v>
      </c>
      <c r="E42">
        <f t="shared" si="6"/>
        <v>0.4733363301460552</v>
      </c>
    </row>
    <row r="43" spans="2:5" x14ac:dyDescent="0.3">
      <c r="B43">
        <f t="shared" si="7"/>
        <v>1.9250000000000012</v>
      </c>
      <c r="C43">
        <f t="shared" si="4"/>
        <v>0.98865831989365394</v>
      </c>
      <c r="D43">
        <f t="shared" si="5"/>
        <v>0.15018231089265191</v>
      </c>
      <c r="E43">
        <f t="shared" si="6"/>
        <v>0.4669515833617503</v>
      </c>
    </row>
    <row r="44" spans="2:5" x14ac:dyDescent="0.3">
      <c r="B44">
        <f t="shared" si="7"/>
        <v>1.9750000000000012</v>
      </c>
      <c r="C44">
        <f t="shared" si="4"/>
        <v>0.99187701240129755</v>
      </c>
      <c r="D44">
        <f t="shared" si="5"/>
        <v>0.12720059854370253</v>
      </c>
      <c r="E44">
        <f t="shared" si="6"/>
        <v>0.46145855048519896</v>
      </c>
    </row>
    <row r="45" spans="2:5" x14ac:dyDescent="0.3">
      <c r="B45">
        <f t="shared" si="7"/>
        <v>2.0250000000000012</v>
      </c>
      <c r="C45">
        <f t="shared" si="4"/>
        <v>0.99453524821846995</v>
      </c>
      <c r="D45">
        <f t="shared" si="5"/>
        <v>0.10440134123193266</v>
      </c>
      <c r="E45">
        <f t="shared" si="6"/>
        <v>0.4568585251922318</v>
      </c>
    </row>
    <row r="46" spans="2:5" x14ac:dyDescent="0.3">
      <c r="B46">
        <f t="shared" si="7"/>
        <v>2.0750000000000011</v>
      </c>
      <c r="C46">
        <f t="shared" si="4"/>
        <v>0.99665253540880361</v>
      </c>
      <c r="D46">
        <f t="shared" si="5"/>
        <v>8.1754043711631072E-2</v>
      </c>
      <c r="E46">
        <f t="shared" si="6"/>
        <v>0.45315226903388944</v>
      </c>
    </row>
    <row r="47" spans="2:5" x14ac:dyDescent="0.3">
      <c r="B47">
        <f t="shared" si="7"/>
        <v>2.1250000000000009</v>
      </c>
      <c r="C47">
        <f t="shared" si="4"/>
        <v>0.99824453315422923</v>
      </c>
      <c r="D47">
        <f t="shared" si="5"/>
        <v>5.9227122399242105E-2</v>
      </c>
      <c r="E47">
        <f t="shared" si="6"/>
        <v>0.45034018432975281</v>
      </c>
    </row>
    <row r="48" spans="2:5" x14ac:dyDescent="0.3">
      <c r="B48">
        <f t="shared" si="7"/>
        <v>2.1750000000000007</v>
      </c>
      <c r="C48">
        <f t="shared" si="4"/>
        <v>0.99932308647916279</v>
      </c>
      <c r="D48">
        <f t="shared" si="5"/>
        <v>3.6788161543620815E-2</v>
      </c>
      <c r="E48">
        <f t="shared" si="6"/>
        <v>0.44842245156081068</v>
      </c>
    </row>
    <row r="49" spans="2:5" x14ac:dyDescent="0.3">
      <c r="B49">
        <f t="shared" si="7"/>
        <v>2.2250000000000005</v>
      </c>
      <c r="C49">
        <f t="shared" si="4"/>
        <v>0.99989625479771416</v>
      </c>
      <c r="D49">
        <f t="shared" si="5"/>
        <v>1.4404153619867566E-2</v>
      </c>
      <c r="E49">
        <f t="shared" si="6"/>
        <v>0.44739913244574331</v>
      </c>
    </row>
    <row r="50" spans="2:5" x14ac:dyDescent="0.3">
      <c r="B50">
        <f t="shared" si="7"/>
        <v>2.2750000000000004</v>
      </c>
      <c r="C50">
        <f t="shared" si="4"/>
        <v>0.99996833245392935</v>
      </c>
      <c r="D50">
        <f t="shared" si="5"/>
        <v>-7.9582717538285649E-3</v>
      </c>
      <c r="E50">
        <f t="shared" si="6"/>
        <v>0.44727023964427387</v>
      </c>
    </row>
    <row r="51" spans="2:5" x14ac:dyDescent="0.3">
      <c r="B51">
        <f t="shared" si="7"/>
        <v>2.3250000000000002</v>
      </c>
      <c r="C51">
        <f t="shared" si="4"/>
        <v>0.99953986003417905</v>
      </c>
      <c r="D51">
        <f t="shared" si="5"/>
        <v>-3.03326260461181E-2</v>
      </c>
      <c r="E51">
        <f t="shared" si="6"/>
        <v>0.44803577375281411</v>
      </c>
    </row>
    <row r="52" spans="2:5" x14ac:dyDescent="0.3">
      <c r="B52">
        <f t="shared" si="7"/>
        <v>2.375</v>
      </c>
      <c r="C52">
        <f t="shared" si="4"/>
        <v>0.99860762580928253</v>
      </c>
      <c r="D52">
        <f t="shared" si="5"/>
        <v>-5.2752342844161131E-2</v>
      </c>
      <c r="E52">
        <f t="shared" si="6"/>
        <v>0.4496957279544006</v>
      </c>
    </row>
    <row r="53" spans="2:5" x14ac:dyDescent="0.3">
      <c r="B53">
        <f t="shared" si="7"/>
        <v>2.4249999999999998</v>
      </c>
      <c r="C53">
        <f t="shared" si="4"/>
        <v>0.99716465722590408</v>
      </c>
      <c r="D53">
        <f t="shared" si="5"/>
        <v>-7.5250557337105659E-2</v>
      </c>
      <c r="E53">
        <f t="shared" si="6"/>
        <v>0.45225006036885823</v>
      </c>
    </row>
    <row r="54" spans="2:5" x14ac:dyDescent="0.3">
      <c r="B54">
        <f t="shared" si="7"/>
        <v>2.4749999999999996</v>
      </c>
      <c r="C54">
        <f t="shared" si="4"/>
        <v>0.99520020292660594</v>
      </c>
      <c r="D54">
        <f t="shared" si="5"/>
        <v>-9.7859879904088051E-2</v>
      </c>
      <c r="E54">
        <f t="shared" si="6"/>
        <v>0.45569863383147641</v>
      </c>
    </row>
    <row r="55" spans="2:5" x14ac:dyDescent="0.3">
      <c r="B55">
        <f t="shared" si="7"/>
        <v>2.5249999999999995</v>
      </c>
      <c r="C55">
        <f t="shared" si="4"/>
        <v>0.99269970635018834</v>
      </c>
      <c r="D55">
        <f t="shared" si="5"/>
        <v>-0.12061215947096643</v>
      </c>
      <c r="E55">
        <f t="shared" si="6"/>
        <v>0.4600411225203675</v>
      </c>
    </row>
    <row r="56" spans="2:5" x14ac:dyDescent="0.3">
      <c r="B56">
        <f t="shared" si="7"/>
        <v>2.5749999999999993</v>
      </c>
      <c r="C56">
        <f t="shared" si="4"/>
        <v>0.98964477256282046</v>
      </c>
      <c r="D56">
        <f t="shared" si="5"/>
        <v>-0.14353823232533908</v>
      </c>
      <c r="E56">
        <f t="shared" si="6"/>
        <v>0.46527688456581023</v>
      </c>
    </row>
    <row r="57" spans="2:5" x14ac:dyDescent="0.3">
      <c r="B57">
        <f t="shared" si="7"/>
        <v>2.6249999999999991</v>
      </c>
      <c r="C57">
        <f t="shared" si="4"/>
        <v>0.98601313060949913</v>
      </c>
      <c r="D57">
        <f t="shared" si="5"/>
        <v>-0.16666765212738446</v>
      </c>
      <c r="E57">
        <f t="shared" si="6"/>
        <v>0.47140479952215569</v>
      </c>
    </row>
    <row r="58" spans="2:5" x14ac:dyDescent="0.3">
      <c r="B58">
        <f t="shared" si="7"/>
        <v>2.6749999999999989</v>
      </c>
      <c r="C58">
        <f t="shared" si="4"/>
        <v>0.98177859436706028</v>
      </c>
      <c r="D58">
        <f t="shared" si="5"/>
        <v>-0.19002839693750859</v>
      </c>
      <c r="E58">
        <f t="shared" si="6"/>
        <v>0.4784230693790919</v>
      </c>
    </row>
    <row r="59" spans="2:5" x14ac:dyDescent="0.3">
      <c r="B59">
        <f t="shared" si="7"/>
        <v>2.7249999999999988</v>
      </c>
      <c r="C59">
        <f t="shared" si="4"/>
        <v>0.97691102563505683</v>
      </c>
      <c r="D59">
        <f t="shared" si="5"/>
        <v>-0.21364654921777088</v>
      </c>
      <c r="E59">
        <f t="shared" si="6"/>
        <v>0.48632898165144245</v>
      </c>
    </row>
    <row r="60" spans="2:5" x14ac:dyDescent="0.3">
      <c r="B60">
        <f t="shared" si="7"/>
        <v>2.7749999999999986</v>
      </c>
      <c r="C60">
        <f t="shared" si="4"/>
        <v>0.97137630402759756</v>
      </c>
      <c r="D60">
        <f t="shared" si="5"/>
        <v>-0.23754594497419673</v>
      </c>
      <c r="E60">
        <f t="shared" si="6"/>
        <v>0.49511863303550513</v>
      </c>
    </row>
    <row r="61" spans="2:5" x14ac:dyDescent="0.3">
      <c r="B61">
        <f t="shared" si="7"/>
        <v>2.8249999999999984</v>
      </c>
      <c r="C61">
        <f t="shared" si="4"/>
        <v>0.96513630913258341</v>
      </c>
      <c r="D61">
        <f t="shared" si="5"/>
        <v>-0.26174778851775288</v>
      </c>
      <c r="E61">
        <f t="shared" si="6"/>
        <v>0.50478661217899523</v>
      </c>
    </row>
    <row r="62" spans="2:5" x14ac:dyDescent="0.3">
      <c r="B62">
        <f t="shared" si="7"/>
        <v>2.8749999999999982</v>
      </c>
      <c r="C62">
        <f t="shared" si="4"/>
        <v>0.95814892138472818</v>
      </c>
      <c r="D62">
        <f t="shared" si="5"/>
        <v>-0.28627022976425931</v>
      </c>
      <c r="E62">
        <f t="shared" si="6"/>
        <v>0.5153256403085581</v>
      </c>
    </row>
    <row r="63" spans="2:5" x14ac:dyDescent="0.3">
      <c r="B63">
        <f t="shared" si="7"/>
        <v>2.924999999999998</v>
      </c>
      <c r="C63">
        <f t="shared" si="4"/>
        <v>0.95036804914912387</v>
      </c>
      <c r="D63">
        <f t="shared" si="5"/>
        <v>-0.31112790160396847</v>
      </c>
      <c r="E63">
        <f t="shared" si="6"/>
        <v>0.52672616882512202</v>
      </c>
    </row>
    <row r="64" spans="2:5" x14ac:dyDescent="0.3">
      <c r="B64">
        <f t="shared" si="7"/>
        <v>2.9749999999999979</v>
      </c>
      <c r="C64">
        <f t="shared" si="4"/>
        <v>0.94174369061840602</v>
      </c>
      <c r="D64">
        <f t="shared" si="5"/>
        <v>-0.33633141569057134</v>
      </c>
      <c r="E64">
        <f t="shared" si="6"/>
        <v>0.53897593354837192</v>
      </c>
    </row>
    <row r="65" spans="2:5" x14ac:dyDescent="0.3">
      <c r="B65">
        <f t="shared" si="7"/>
        <v>3.0249999999999977</v>
      </c>
      <c r="C65">
        <f t="shared" si="4"/>
        <v>0.93222204026392419</v>
      </c>
      <c r="D65">
        <f t="shared" si="5"/>
        <v>-0.36188681607122175</v>
      </c>
      <c r="E65">
        <f t="shared" si="6"/>
        <v>0.55205946610572032</v>
      </c>
    </row>
    <row r="66" spans="2:5" x14ac:dyDescent="0.3">
      <c r="B66">
        <f t="shared" si="7"/>
        <v>3.0749999999999975</v>
      </c>
      <c r="C66">
        <f t="shared" si="4"/>
        <v>0.92174565071182513</v>
      </c>
      <c r="D66">
        <f t="shared" si="5"/>
        <v>-0.3877949914501656</v>
      </c>
      <c r="E66">
        <f t="shared" si="6"/>
        <v>0.56595756405853181</v>
      </c>
    </row>
    <row r="67" spans="2:5" x14ac:dyDescent="0.3">
      <c r="B67">
        <f t="shared" si="7"/>
        <v>3.1249999999999973</v>
      </c>
      <c r="C67">
        <f t="shared" si="4"/>
        <v>0.91025366198521673</v>
      </c>
      <c r="D67">
        <f t="shared" si="5"/>
        <v>-0.41405104859485992</v>
      </c>
      <c r="E67">
        <f t="shared" si="6"/>
        <v>0.5806467227790082</v>
      </c>
    </row>
    <row r="68" spans="2:5" x14ac:dyDescent="0.3">
      <c r="B68">
        <f t="shared" si="7"/>
        <v>3.1749999999999972</v>
      </c>
      <c r="C68">
        <f t="shared" si="4"/>
        <v>0.89768211099189976</v>
      </c>
      <c r="D68">
        <f t="shared" si="5"/>
        <v>-0.44064365149758655</v>
      </c>
      <c r="E68">
        <f t="shared" si="6"/>
        <v>0.59609853387179301</v>
      </c>
    </row>
    <row r="69" spans="2:5" x14ac:dyDescent="0.3">
      <c r="B69">
        <f t="shared" si="7"/>
        <v>3.224999999999997</v>
      </c>
      <c r="C69">
        <f t="shared" ref="C69:C100" si="8">jacobiSn(B69, m)</f>
        <v>0.88396433485139014</v>
      </c>
      <c r="D69">
        <f t="shared" ref="D69:D100" si="9">jacobiCn(B69, m)</f>
        <v>-0.46755433343167657</v>
      </c>
      <c r="E69">
        <f t="shared" ref="E69:E100" si="10">jacobidn(B69, m)</f>
        <v>0.6122790571043496</v>
      </c>
    </row>
    <row r="70" spans="2:5" x14ac:dyDescent="0.3">
      <c r="B70">
        <f t="shared" ref="B70:B101" si="11">B69+xM/200</f>
        <v>3.2749999999999968</v>
      </c>
      <c r="C70">
        <f t="shared" si="8"/>
        <v>0.869031482030866</v>
      </c>
      <c r="D70">
        <f t="shared" si="9"/>
        <v>-0.49475679200920186</v>
      </c>
      <c r="E70">
        <f t="shared" si="10"/>
        <v>0.62914817538588574</v>
      </c>
    </row>
    <row r="71" spans="2:5" x14ac:dyDescent="0.3">
      <c r="B71">
        <f t="shared" si="11"/>
        <v>3.3249999999999966</v>
      </c>
      <c r="C71">
        <f t="shared" si="8"/>
        <v>0.85281314516068574</v>
      </c>
      <c r="D71">
        <f t="shared" si="9"/>
        <v>-0.52221618075385123</v>
      </c>
      <c r="E71">
        <f t="shared" si="10"/>
        <v>0.64665894531268275</v>
      </c>
    </row>
    <row r="72" spans="2:5" x14ac:dyDescent="0.3">
      <c r="B72">
        <f t="shared" si="11"/>
        <v>3.3749999999999964</v>
      </c>
      <c r="C72">
        <f t="shared" si="8"/>
        <v>0.83523812866905511</v>
      </c>
      <c r="D72">
        <f t="shared" si="9"/>
        <v>-0.54988841451463166</v>
      </c>
      <c r="E72">
        <f t="shared" si="10"/>
        <v>0.66475695914667365</v>
      </c>
    </row>
    <row r="73" spans="2:5" x14ac:dyDescent="0.3">
      <c r="B73">
        <f t="shared" si="11"/>
        <v>3.4249999999999963</v>
      </c>
      <c r="C73">
        <f t="shared" si="8"/>
        <v>0.81623536283902265</v>
      </c>
      <c r="D73">
        <f t="shared" si="9"/>
        <v>-0.57771951018729584</v>
      </c>
      <c r="E73">
        <f t="shared" si="10"/>
        <v>0.68337973774530314</v>
      </c>
    </row>
    <row r="74" spans="2:5" x14ac:dyDescent="0.3">
      <c r="B74">
        <f t="shared" si="11"/>
        <v>3.4749999999999961</v>
      </c>
      <c r="C74">
        <f t="shared" si="8"/>
        <v>0.79573497336823928</v>
      </c>
      <c r="D74">
        <f t="shared" si="9"/>
        <v>-0.605644988552409</v>
      </c>
      <c r="E74">
        <f t="shared" si="10"/>
        <v>0.70245617779824387</v>
      </c>
    </row>
    <row r="75" spans="2:5" x14ac:dyDescent="0.3">
      <c r="B75">
        <f t="shared" si="11"/>
        <v>3.5249999999999959</v>
      </c>
      <c r="C75">
        <f t="shared" si="8"/>
        <v>0.773669511826791</v>
      </c>
      <c r="D75">
        <f t="shared" si="9"/>
        <v>-0.63358936739002725</v>
      </c>
      <c r="E75">
        <f t="shared" si="10"/>
        <v>0.72190608057818428</v>
      </c>
    </row>
    <row r="76" spans="2:5" x14ac:dyDescent="0.3">
      <c r="B76">
        <f t="shared" si="11"/>
        <v>3.5749999999999957</v>
      </c>
      <c r="C76">
        <f t="shared" si="8"/>
        <v>0.74997534740811667</v>
      </c>
      <c r="D76">
        <f t="shared" si="9"/>
        <v>-0.66146578012779678</v>
      </c>
      <c r="E76">
        <f t="shared" si="10"/>
        <v>0.74163979304245786</v>
      </c>
    </row>
    <row r="77" spans="2:5" x14ac:dyDescent="0.3">
      <c r="B77">
        <f t="shared" si="11"/>
        <v>3.6249999999999956</v>
      </c>
      <c r="C77">
        <f t="shared" si="8"/>
        <v>0.72459421394636736</v>
      </c>
      <c r="D77">
        <f t="shared" si="9"/>
        <v>-0.6891757577827633</v>
      </c>
      <c r="E77">
        <f t="shared" si="10"/>
        <v>0.76155799522581125</v>
      </c>
    </row>
    <row r="78" spans="2:5" x14ac:dyDescent="0.3">
      <c r="B78">
        <f t="shared" si="11"/>
        <v>3.6749999999999954</v>
      </c>
      <c r="C78">
        <f t="shared" si="8"/>
        <v>0.6974748982998249</v>
      </c>
      <c r="D78">
        <f t="shared" si="9"/>
        <v>-0.71660921445488612</v>
      </c>
      <c r="E78">
        <f t="shared" si="10"/>
        <v>0.78155167007263127</v>
      </c>
    </row>
    <row r="79" spans="2:5" x14ac:dyDescent="0.3">
      <c r="B79">
        <f t="shared" si="11"/>
        <v>3.7249999999999952</v>
      </c>
      <c r="C79">
        <f t="shared" si="8"/>
        <v>0.66857504695096415</v>
      </c>
      <c r="D79">
        <f t="shared" si="9"/>
        <v>-0.74364467764821396</v>
      </c>
      <c r="E79">
        <f t="shared" si="10"/>
        <v>0.80150229274507556</v>
      </c>
    </row>
    <row r="80" spans="2:5" x14ac:dyDescent="0.3">
      <c r="B80">
        <f t="shared" si="11"/>
        <v>3.774999999999995</v>
      </c>
      <c r="C80">
        <f t="shared" si="8"/>
        <v>0.63786305726675496</v>
      </c>
      <c r="D80">
        <f t="shared" si="9"/>
        <v>-0.77014980372282671</v>
      </c>
      <c r="E80">
        <f t="shared" si="10"/>
        <v>0.82128227555417677</v>
      </c>
    </row>
    <row r="81" spans="2:5" x14ac:dyDescent="0.3">
      <c r="B81">
        <f t="shared" si="11"/>
        <v>3.8249999999999948</v>
      </c>
      <c r="C81">
        <f t="shared" si="8"/>
        <v>0.60532000868523628</v>
      </c>
      <c r="D81">
        <f t="shared" si="9"/>
        <v>-0.79598221530716717</v>
      </c>
      <c r="E81">
        <f t="shared" si="10"/>
        <v>0.84075570153775603</v>
      </c>
    </row>
    <row r="82" spans="2:5" x14ac:dyDescent="0.3">
      <c r="B82">
        <f t="shared" si="11"/>
        <v>3.8749999999999947</v>
      </c>
      <c r="C82">
        <f t="shared" si="8"/>
        <v>0.57094157772384546</v>
      </c>
      <c r="D82">
        <f t="shared" si="9"/>
        <v>-0.82099069107158951</v>
      </c>
      <c r="E82">
        <f t="shared" si="10"/>
        <v>0.85977937394483062</v>
      </c>
    </row>
    <row r="83" spans="2:5" x14ac:dyDescent="0.3">
      <c r="B83">
        <f t="shared" si="11"/>
        <v>3.9249999999999945</v>
      </c>
      <c r="C83">
        <f t="shared" si="8"/>
        <v>0.53473986991326605</v>
      </c>
      <c r="D83">
        <f t="shared" si="9"/>
        <v>-0.8450167285475142</v>
      </c>
      <c r="E83">
        <f t="shared" si="10"/>
        <v>0.87820420018359879</v>
      </c>
    </row>
    <row r="84" spans="2:5" x14ac:dyDescent="0.3">
      <c r="B84">
        <f t="shared" si="11"/>
        <v>3.9749999999999943</v>
      </c>
      <c r="C84">
        <f t="shared" si="8"/>
        <v>0.49674509249432658</v>
      </c>
      <c r="D84">
        <f t="shared" si="9"/>
        <v>-0.86789648753915516</v>
      </c>
      <c r="E84">
        <f t="shared" si="10"/>
        <v>0.89587691702947814</v>
      </c>
    </row>
    <row r="85" spans="2:5" x14ac:dyDescent="0.3">
      <c r="B85">
        <f t="shared" si="11"/>
        <v>4.0249999999999941</v>
      </c>
      <c r="C85">
        <f t="shared" si="8"/>
        <v>0.45700698504721077</v>
      </c>
      <c r="D85">
        <f t="shared" si="9"/>
        <v>-0.88946310525960459</v>
      </c>
      <c r="E85">
        <f t="shared" si="10"/>
        <v>0.91264214919893261</v>
      </c>
    </row>
    <row r="86" spans="2:5" x14ac:dyDescent="0.3">
      <c r="B86">
        <f t="shared" si="11"/>
        <v>4.074999999999994</v>
      </c>
      <c r="C86">
        <f t="shared" si="8"/>
        <v>0.41559592226802183</v>
      </c>
      <c r="D86">
        <f t="shared" si="9"/>
        <v>-0.90954935511724289</v>
      </c>
      <c r="E86">
        <f t="shared" si="10"/>
        <v>0.92834477620943934</v>
      </c>
    </row>
    <row r="87" spans="2:5" x14ac:dyDescent="0.3">
      <c r="B87">
        <f t="shared" si="11"/>
        <v>4.1249999999999938</v>
      </c>
      <c r="C87">
        <f t="shared" si="8"/>
        <v>0.37260360491295258</v>
      </c>
      <c r="D87">
        <f t="shared" si="9"/>
        <v>-0.92799059995555577</v>
      </c>
      <c r="E87">
        <f t="shared" si="10"/>
        <v>0.94283256354704781</v>
      </c>
    </row>
    <row r="88" spans="2:5" x14ac:dyDescent="0.3">
      <c r="B88">
        <f t="shared" si="11"/>
        <v>4.1749999999999936</v>
      </c>
      <c r="C88">
        <f t="shared" si="8"/>
        <v>0.32814326233050373</v>
      </c>
      <c r="D88">
        <f t="shared" si="9"/>
        <v>-0.94462796877241262</v>
      </c>
      <c r="E88">
        <f t="shared" si="10"/>
        <v>0.95595899468004142</v>
      </c>
    </row>
    <row r="89" spans="2:5" x14ac:dyDescent="0.3">
      <c r="B89">
        <f t="shared" si="11"/>
        <v>4.2249999999999934</v>
      </c>
      <c r="C89">
        <f t="shared" si="8"/>
        <v>0.28234930347360321</v>
      </c>
      <c r="D89">
        <f t="shared" si="9"/>
        <v>-0.95931166511617649</v>
      </c>
      <c r="E89">
        <f t="shared" si="10"/>
        <v>0.96758622182334575</v>
      </c>
    </row>
    <row r="90" spans="2:5" x14ac:dyDescent="0.3">
      <c r="B90">
        <f t="shared" si="11"/>
        <v>4.2749999999999932</v>
      </c>
      <c r="C90">
        <f t="shared" si="8"/>
        <v>0.23537637280448015</v>
      </c>
      <c r="D90">
        <f t="shared" si="9"/>
        <v>-0.97190429730781946</v>
      </c>
      <c r="E90">
        <f t="shared" si="10"/>
        <v>0.97758803721216081</v>
      </c>
    </row>
    <row r="91" spans="2:5" x14ac:dyDescent="0.3">
      <c r="B91">
        <f t="shared" si="11"/>
        <v>4.3249999999999931</v>
      </c>
      <c r="C91">
        <f t="shared" si="8"/>
        <v>0.18739779245392943</v>
      </c>
      <c r="D91">
        <f t="shared" si="9"/>
        <v>-0.98228410726397986</v>
      </c>
      <c r="E91">
        <f t="shared" si="10"/>
        <v>0.98585275467826083</v>
      </c>
    </row>
    <row r="92" spans="2:5" x14ac:dyDescent="0.3">
      <c r="B92">
        <f t="shared" si="11"/>
        <v>4.3749999999999929</v>
      </c>
      <c r="C92">
        <f t="shared" si="8"/>
        <v>0.13860340111112271</v>
      </c>
      <c r="D92">
        <f t="shared" si="9"/>
        <v>-0.99034796773680978</v>
      </c>
      <c r="E92">
        <f t="shared" si="10"/>
        <v>0.99228588509579407</v>
      </c>
    </row>
    <row r="93" spans="2:5" x14ac:dyDescent="0.3">
      <c r="B93">
        <f t="shared" si="11"/>
        <v>4.4249999999999927</v>
      </c>
      <c r="C93">
        <f t="shared" si="8"/>
        <v>8.9196831540515678E-2</v>
      </c>
      <c r="D93">
        <f t="shared" si="9"/>
        <v>-0.99601401859769667</v>
      </c>
      <c r="E93">
        <f t="shared" si="10"/>
        <v>0.99681248998721228</v>
      </c>
    </row>
    <row r="94" spans="2:5" x14ac:dyDescent="0.3">
      <c r="B94">
        <f t="shared" si="11"/>
        <v>4.4749999999999925</v>
      </c>
      <c r="C94">
        <f t="shared" si="8"/>
        <v>3.9392300025362162E-2</v>
      </c>
      <c r="D94">
        <f t="shared" si="9"/>
        <v>-0.99922382212330785</v>
      </c>
      <c r="E94">
        <f t="shared" si="10"/>
        <v>0.99937910592475843</v>
      </c>
    </row>
    <row r="95" spans="2:5" x14ac:dyDescent="0.3">
      <c r="B95">
        <f t="shared" si="11"/>
        <v>4.5249999999999924</v>
      </c>
      <c r="C95">
        <f t="shared" si="8"/>
        <v>-1.0588990143988626E-2</v>
      </c>
      <c r="D95">
        <f t="shared" si="9"/>
        <v>-0.99994393507222723</v>
      </c>
      <c r="E95">
        <f t="shared" si="10"/>
        <v>0.99995514830925514</v>
      </c>
    </row>
    <row r="96" spans="2:5" x14ac:dyDescent="0.3">
      <c r="B96">
        <f t="shared" si="11"/>
        <v>4.5749999999999922</v>
      </c>
      <c r="C96">
        <f t="shared" si="8"/>
        <v>-6.0522705313095337E-2</v>
      </c>
      <c r="D96">
        <f t="shared" si="9"/>
        <v>-0.99816682079779839</v>
      </c>
      <c r="E96">
        <f t="shared" si="10"/>
        <v>0.99853372587673139</v>
      </c>
    </row>
    <row r="97" spans="2:5" x14ac:dyDescent="0.3">
      <c r="B97">
        <f t="shared" si="11"/>
        <v>4.624999999999992</v>
      </c>
      <c r="C97">
        <f t="shared" si="8"/>
        <v>-0.11018535600668561</v>
      </c>
      <c r="D97">
        <f t="shared" si="9"/>
        <v>-0.99391105604157559</v>
      </c>
      <c r="E97">
        <f t="shared" si="10"/>
        <v>0.9951318253665411</v>
      </c>
    </row>
    <row r="98" spans="2:5" x14ac:dyDescent="0.3">
      <c r="B98">
        <f t="shared" si="11"/>
        <v>4.6749999999999918</v>
      </c>
      <c r="C98">
        <f t="shared" si="8"/>
        <v>-0.15935823959524537</v>
      </c>
      <c r="D98">
        <f t="shared" si="9"/>
        <v>-0.98722082204190986</v>
      </c>
      <c r="E98">
        <f t="shared" si="10"/>
        <v>0.98978985708001854</v>
      </c>
    </row>
    <row r="99" spans="2:5" x14ac:dyDescent="0.3">
      <c r="B99">
        <f t="shared" si="11"/>
        <v>4.7249999999999917</v>
      </c>
      <c r="C99">
        <f t="shared" si="8"/>
        <v>-0.20783120335481961</v>
      </c>
      <c r="D99">
        <f t="shared" si="9"/>
        <v>-0.97816470541115297</v>
      </c>
      <c r="E99">
        <f t="shared" si="10"/>
        <v>0.98257058409544817</v>
      </c>
    </row>
    <row r="100" spans="2:5" x14ac:dyDescent="0.3">
      <c r="B100">
        <f t="shared" si="11"/>
        <v>4.7749999999999915</v>
      </c>
      <c r="C100">
        <f t="shared" si="8"/>
        <v>-0.2554060916302372</v>
      </c>
      <c r="D100">
        <f t="shared" si="9"/>
        <v>-0.96683386802395732</v>
      </c>
      <c r="E100">
        <f t="shared" si="10"/>
        <v>0.97355748812616782</v>
      </c>
    </row>
    <row r="101" spans="2:5" x14ac:dyDescent="0.3">
      <c r="B101">
        <f t="shared" si="11"/>
        <v>4.8249999999999913</v>
      </c>
      <c r="C101">
        <f t="shared" ref="C101:C132" si="12">jacobiSn(B101, m)</f>
        <v>-0.30189976054321926</v>
      </c>
      <c r="D101">
        <f t="shared" ref="D101:D132" si="13">jacobiCn(B101, m)</f>
        <v>-0.95333967429450184</v>
      </c>
      <c r="E101">
        <f t="shared" ref="E101:E132" si="14">jacobidn(B101, m)</f>
        <v>0.96285265106721163</v>
      </c>
    </row>
    <row r="102" spans="2:5" x14ac:dyDescent="0.3">
      <c r="B102">
        <f t="shared" ref="B102:B133" si="15">B101+xM/200</f>
        <v>4.8749999999999911</v>
      </c>
      <c r="C102">
        <f t="shared" si="12"/>
        <v>-0.34714656985186615</v>
      </c>
      <c r="D102">
        <f t="shared" si="13"/>
        <v>-0.937810886607787</v>
      </c>
      <c r="E102">
        <f t="shared" si="14"/>
        <v>0.95057425129869089</v>
      </c>
    </row>
    <row r="103" spans="2:5" x14ac:dyDescent="0.3">
      <c r="B103">
        <f t="shared" si="15"/>
        <v>4.9249999999999909</v>
      </c>
      <c r="C103">
        <f t="shared" si="12"/>
        <v>-0.39100029179915291</v>
      </c>
      <c r="D103">
        <f t="shared" si="13"/>
        <v>-0.92039055395683922</v>
      </c>
      <c r="E103">
        <f t="shared" si="14"/>
        <v>0.93685378659125984</v>
      </c>
    </row>
    <row r="104" spans="2:5" x14ac:dyDescent="0.3">
      <c r="B104">
        <f t="shared" si="15"/>
        <v>4.9749999999999908</v>
      </c>
      <c r="C104">
        <f t="shared" si="12"/>
        <v>-0.43333540850356261</v>
      </c>
      <c r="D104">
        <f t="shared" si="13"/>
        <v>-0.90123272451517789</v>
      </c>
      <c r="E104">
        <f t="shared" si="14"/>
        <v>0.92183314053555288</v>
      </c>
    </row>
    <row r="105" spans="2:5" x14ac:dyDescent="0.3">
      <c r="B105">
        <f t="shared" si="15"/>
        <v>5.0249999999999906</v>
      </c>
      <c r="C105">
        <f t="shared" si="12"/>
        <v>-0.47404780014959841</v>
      </c>
      <c r="D105">
        <f t="shared" si="13"/>
        <v>-0.88049911026265459</v>
      </c>
      <c r="E105">
        <f t="shared" si="14"/>
        <v>0.9056616070799629</v>
      </c>
    </row>
    <row r="106" spans="2:5" x14ac:dyDescent="0.3">
      <c r="B106">
        <f t="shared" si="15"/>
        <v>5.0749999999999904</v>
      </c>
      <c r="C106">
        <f t="shared" si="12"/>
        <v>-0.51305485378039906</v>
      </c>
      <c r="D106">
        <f t="shared" si="13"/>
        <v>-0.85835582191325133</v>
      </c>
      <c r="E106">
        <f t="shared" si="14"/>
        <v>0.88849297893112167</v>
      </c>
    </row>
    <row r="107" spans="2:5" x14ac:dyDescent="0.3">
      <c r="B107">
        <f t="shared" si="15"/>
        <v>5.1249999999999902</v>
      </c>
      <c r="C107">
        <f t="shared" si="12"/>
        <v>-0.55029504526135964</v>
      </c>
      <c r="D107">
        <f t="shared" si="13"/>
        <v>-0.83497027681277269</v>
      </c>
      <c r="E107">
        <f t="shared" si="14"/>
        <v>0.87048279163268838</v>
      </c>
    </row>
    <row r="108" spans="2:5" x14ac:dyDescent="0.3">
      <c r="B108">
        <f t="shared" si="15"/>
        <v>5.1749999999999901</v>
      </c>
      <c r="C108">
        <f t="shared" si="12"/>
        <v>-0.58572706398163188</v>
      </c>
      <c r="D108">
        <f t="shared" si="13"/>
        <v>-0.81050836301635854</v>
      </c>
      <c r="E108">
        <f t="shared" si="14"/>
        <v>0.85178579773060659</v>
      </c>
    </row>
    <row r="109" spans="2:5" x14ac:dyDescent="0.3">
      <c r="B109">
        <f t="shared" si="15"/>
        <v>5.2249999999999899</v>
      </c>
      <c r="C109">
        <f t="shared" si="12"/>
        <v>-0.61932856073112164</v>
      </c>
      <c r="D109">
        <f t="shared" si="13"/>
        <v>-0.78513192131177378</v>
      </c>
      <c r="E109">
        <f t="shared" si="14"/>
        <v>0.83255372624844692</v>
      </c>
    </row>
    <row r="110" spans="2:5" x14ac:dyDescent="0.3">
      <c r="B110">
        <f t="shared" si="15"/>
        <v>5.2749999999999897</v>
      </c>
      <c r="C110">
        <f t="shared" si="12"/>
        <v>-0.65109460413853815</v>
      </c>
      <c r="D110">
        <f t="shared" si="13"/>
        <v>-0.758996585276693</v>
      </c>
      <c r="E110">
        <f t="shared" si="14"/>
        <v>0.81293336330190324</v>
      </c>
    </row>
    <row r="111" spans="2:5" x14ac:dyDescent="0.3">
      <c r="B111">
        <f t="shared" si="15"/>
        <v>5.3249999999999895</v>
      </c>
      <c r="C111">
        <f t="shared" si="12"/>
        <v>-0.68103593072775981</v>
      </c>
      <c r="D111">
        <f t="shared" si="13"/>
        <v>-0.73224999901520926</v>
      </c>
      <c r="E111">
        <f t="shared" si="14"/>
        <v>0.79306497139025067</v>
      </c>
    </row>
    <row r="112" spans="2:5" x14ac:dyDescent="0.3">
      <c r="B112">
        <f t="shared" si="15"/>
        <v>5.3749999999999893</v>
      </c>
      <c r="C112">
        <f t="shared" si="12"/>
        <v>-0.70917706898770949</v>
      </c>
      <c r="D112">
        <f t="shared" si="13"/>
        <v>-0.70503041411133571</v>
      </c>
      <c r="E112">
        <f t="shared" si="14"/>
        <v>0.77308104869903593</v>
      </c>
    </row>
    <row r="113" spans="2:5" x14ac:dyDescent="0.3">
      <c r="B113">
        <f t="shared" si="15"/>
        <v>5.4249999999999892</v>
      </c>
      <c r="C113">
        <f t="shared" si="12"/>
        <v>-0.73555440994623922</v>
      </c>
      <c r="D113">
        <f t="shared" si="13"/>
        <v>-0.67746565227223132</v>
      </c>
      <c r="E113">
        <f t="shared" si="14"/>
        <v>0.75310541626449079</v>
      </c>
    </row>
    <row r="114" spans="2:5" x14ac:dyDescent="0.3">
      <c r="B114">
        <f t="shared" si="15"/>
        <v>5.474999999999989</v>
      </c>
      <c r="C114">
        <f t="shared" si="12"/>
        <v>-0.76021428670099001</v>
      </c>
      <c r="D114">
        <f t="shared" si="13"/>
        <v>-0.6496724084457528</v>
      </c>
      <c r="E114">
        <f t="shared" si="14"/>
        <v>0.73325261038510048</v>
      </c>
    </row>
    <row r="115" spans="2:5" x14ac:dyDescent="0.3">
      <c r="B115">
        <f t="shared" si="15"/>
        <v>5.5249999999999888</v>
      </c>
      <c r="C115">
        <f t="shared" si="12"/>
        <v>-0.78321111421709921</v>
      </c>
      <c r="D115">
        <f t="shared" si="13"/>
        <v>-0.62175586090266166</v>
      </c>
      <c r="E115">
        <f t="shared" si="14"/>
        <v>0.71362755023432778</v>
      </c>
    </row>
    <row r="116" spans="2:5" x14ac:dyDescent="0.3">
      <c r="B116">
        <f t="shared" si="15"/>
        <v>5.5749999999999886</v>
      </c>
      <c r="C116">
        <f t="shared" si="12"/>
        <v>-0.80460562932969093</v>
      </c>
      <c r="D116">
        <f t="shared" si="13"/>
        <v>-0.59380954964615706</v>
      </c>
      <c r="E116">
        <f t="shared" si="14"/>
        <v>0.69432544602713331</v>
      </c>
    </row>
    <row r="117" spans="2:5" x14ac:dyDescent="0.3">
      <c r="B117">
        <f t="shared" si="15"/>
        <v>5.6249999999999885</v>
      </c>
      <c r="C117">
        <f t="shared" si="12"/>
        <v>-0.82446325997873571</v>
      </c>
      <c r="D117">
        <f t="shared" si="13"/>
        <v>-0.56591548215721721</v>
      </c>
      <c r="E117">
        <f t="shared" si="14"/>
        <v>0.67543191096970567</v>
      </c>
    </row>
    <row r="118" spans="2:5" x14ac:dyDescent="0.3">
      <c r="B118">
        <f t="shared" si="15"/>
        <v>5.6749999999999883</v>
      </c>
      <c r="C118">
        <f t="shared" si="12"/>
        <v>-0.84285264275051031</v>
      </c>
      <c r="D118">
        <f t="shared" si="13"/>
        <v>-0.53814442541801033</v>
      </c>
      <c r="E118">
        <f t="shared" si="14"/>
        <v>0.65702324014207014</v>
      </c>
    </row>
    <row r="119" spans="2:5" x14ac:dyDescent="0.3">
      <c r="B119">
        <f t="shared" si="15"/>
        <v>5.7249999999999881</v>
      </c>
      <c r="C119">
        <f t="shared" si="12"/>
        <v>-0.85984429911573246</v>
      </c>
      <c r="D119">
        <f t="shared" si="13"/>
        <v>-0.51055634486134327</v>
      </c>
      <c r="E119">
        <f t="shared" si="14"/>
        <v>0.63916682096502775</v>
      </c>
    </row>
    <row r="120" spans="2:5" x14ac:dyDescent="0.3">
      <c r="B120">
        <f t="shared" si="15"/>
        <v>5.7749999999999879</v>
      </c>
      <c r="C120">
        <f t="shared" si="12"/>
        <v>-0.8755094734933957</v>
      </c>
      <c r="D120">
        <f t="shared" si="13"/>
        <v>-0.48320095387252393</v>
      </c>
      <c r="E120">
        <f t="shared" si="14"/>
        <v>0.62192164253919768</v>
      </c>
    </row>
    <row r="121" spans="2:5" x14ac:dyDescent="0.3">
      <c r="B121">
        <f t="shared" si="15"/>
        <v>5.8249999999999877</v>
      </c>
      <c r="C121">
        <f t="shared" si="12"/>
        <v>-0.88991913045854887</v>
      </c>
      <c r="D121">
        <f t="shared" si="13"/>
        <v>-0.45611834127110051</v>
      </c>
      <c r="E121">
        <f t="shared" si="14"/>
        <v>0.60533887451172341</v>
      </c>
    </row>
    <row r="122" spans="2:5" x14ac:dyDescent="0.3">
      <c r="B122">
        <f t="shared" si="15"/>
        <v>5.8749999999999876</v>
      </c>
      <c r="C122">
        <f t="shared" si="12"/>
        <v>-0.90314310398529818</v>
      </c>
      <c r="D122">
        <f t="shared" si="13"/>
        <v>-0.42933964844141892</v>
      </c>
      <c r="E122">
        <f t="shared" si="14"/>
        <v>0.58946248988297889</v>
      </c>
    </row>
    <row r="123" spans="2:5" x14ac:dyDescent="0.3">
      <c r="B123">
        <f t="shared" si="15"/>
        <v>5.9249999999999874</v>
      </c>
      <c r="C123">
        <f t="shared" si="12"/>
        <v>-0.9152493884440247</v>
      </c>
      <c r="D123">
        <f t="shared" si="13"/>
        <v>-0.4028877721560169</v>
      </c>
      <c r="E123">
        <f t="shared" si="14"/>
        <v>0.57432991003627065</v>
      </c>
    </row>
    <row r="124" spans="2:5" x14ac:dyDescent="0.3">
      <c r="B124">
        <f t="shared" si="15"/>
        <v>5.9749999999999872</v>
      </c>
      <c r="C124">
        <f t="shared" si="12"/>
        <v>-0.92630355898898531</v>
      </c>
      <c r="D124">
        <f t="shared" si="13"/>
        <v>-0.37677807341237285</v>
      </c>
      <c r="E124">
        <f t="shared" si="14"/>
        <v>0.55997265404970575</v>
      </c>
    </row>
    <row r="125" spans="2:5" x14ac:dyDescent="0.3">
      <c r="B125">
        <f t="shared" si="15"/>
        <v>6.024999999999987</v>
      </c>
      <c r="C125">
        <f t="shared" si="12"/>
        <v>-0.93636830779906222</v>
      </c>
      <c r="D125">
        <f t="shared" si="13"/>
        <v>-0.35101907661766907</v>
      </c>
      <c r="E125">
        <f t="shared" si="14"/>
        <v>0.54641697788375576</v>
      </c>
    </row>
    <row r="126" spans="2:5" x14ac:dyDescent="0.3">
      <c r="B126">
        <f t="shared" si="15"/>
        <v>6.0749999999999869</v>
      </c>
      <c r="C126">
        <f t="shared" si="12"/>
        <v>-0.94550308219146828</v>
      </c>
      <c r="D126">
        <f t="shared" si="13"/>
        <v>-0.32561314710317496</v>
      </c>
      <c r="E126">
        <f t="shared" si="14"/>
        <v>0.53368449223595305</v>
      </c>
    </row>
    <row r="127" spans="2:5" x14ac:dyDescent="0.3">
      <c r="B127">
        <f t="shared" si="15"/>
        <v>6.1249999999999867</v>
      </c>
      <c r="C127">
        <f t="shared" si="12"/>
        <v>-0.95376381074843253</v>
      </c>
      <c r="D127">
        <f t="shared" si="13"/>
        <v>-0.30055713817280777</v>
      </c>
      <c r="E127">
        <f t="shared" si="14"/>
        <v>0.5217927506638077</v>
      </c>
    </row>
    <row r="128" spans="2:5" x14ac:dyDescent="0.3">
      <c r="B128">
        <f t="shared" si="15"/>
        <v>6.1749999999999865</v>
      </c>
      <c r="C128">
        <f t="shared" si="12"/>
        <v>-0.96120270413150455</v>
      </c>
      <c r="D128">
        <f t="shared" si="13"/>
        <v>-0.27584300166994091</v>
      </c>
      <c r="E128">
        <f t="shared" si="14"/>
        <v>0.51075580197999348</v>
      </c>
    </row>
    <row r="129" spans="2:5" x14ac:dyDescent="0.3">
      <c r="B129">
        <f t="shared" si="15"/>
        <v>6.2249999999999863</v>
      </c>
      <c r="C129">
        <f t="shared" si="12"/>
        <v>-0.96786811807991446</v>
      </c>
      <c r="D129">
        <f t="shared" si="13"/>
        <v>-0.25145835839049913</v>
      </c>
      <c r="E129">
        <f t="shared" si="14"/>
        <v>0.50058470292604396</v>
      </c>
    </row>
    <row r="130" spans="2:5" x14ac:dyDescent="0.3">
      <c r="B130">
        <f t="shared" si="15"/>
        <v>6.2749999999999861</v>
      </c>
      <c r="C130">
        <f t="shared" si="12"/>
        <v>-0.97380446709364243</v>
      </c>
      <c r="D130">
        <f t="shared" si="13"/>
        <v>-0.22738702660544804</v>
      </c>
      <c r="E130">
        <f t="shared" si="14"/>
        <v>0.49128798875483742</v>
      </c>
    </row>
    <row r="131" spans="2:5" x14ac:dyDescent="0.3">
      <c r="B131">
        <f t="shared" si="15"/>
        <v>6.324999999999986</v>
      </c>
      <c r="C131">
        <f t="shared" si="12"/>
        <v>-0.97905217840527226</v>
      </c>
      <c r="D131">
        <f t="shared" si="13"/>
        <v>-0.20360950852033069</v>
      </c>
      <c r="E131">
        <f t="shared" si="14"/>
        <v>0.48287210063112196</v>
      </c>
    </row>
    <row r="132" spans="2:5" x14ac:dyDescent="0.3">
      <c r="B132">
        <f t="shared" si="15"/>
        <v>6.3749999999999858</v>
      </c>
      <c r="C132">
        <f t="shared" si="12"/>
        <v>-0.98364767698365629</v>
      </c>
      <c r="D132">
        <f t="shared" si="13"/>
        <v>-0.18010343573806839</v>
      </c>
      <c r="E132">
        <f t="shared" si="14"/>
        <v>0.47534176973176384</v>
      </c>
    </row>
    <row r="133" spans="2:5" x14ac:dyDescent="0.3">
      <c r="B133">
        <f t="shared" si="15"/>
        <v>6.4249999999999856</v>
      </c>
      <c r="C133">
        <f t="shared" ref="C133:C164" si="16">jacobiSn(B133, m)</f>
        <v>-0.98762339344043604</v>
      </c>
      <c r="D133">
        <f t="shared" ref="D133:D164" si="17">jacobiCn(B133, m)</f>
        <v>-0.15684397575041825</v>
      </c>
      <c r="E133">
        <f t="shared" ref="E133:E164" si="18">jacobidn(B133, m)</f>
        <v>0.46870035863369913</v>
      </c>
    </row>
    <row r="134" spans="2:5" x14ac:dyDescent="0.3">
      <c r="B134">
        <f t="shared" ref="B134:B165" si="19">B133+xM/200</f>
        <v>6.4749999999999854</v>
      </c>
      <c r="C134">
        <f t="shared" si="16"/>
        <v>-0.99100778779544796</v>
      </c>
      <c r="D134">
        <f t="shared" si="17"/>
        <v>-0.13380420220894512</v>
      </c>
      <c r="E134">
        <f t="shared" si="18"/>
        <v>0.46295016105734077</v>
      </c>
    </row>
    <row r="135" spans="2:5" x14ac:dyDescent="0.3">
      <c r="B135">
        <f t="shared" si="19"/>
        <v>6.5249999999999853</v>
      </c>
      <c r="C135">
        <f t="shared" si="16"/>
        <v>-0.99382538307882951</v>
      </c>
      <c r="D135">
        <f t="shared" si="17"/>
        <v>-0.11095543226096678</v>
      </c>
      <c r="E135">
        <f t="shared" si="18"/>
        <v>0.45809266132363913</v>
      </c>
    </row>
    <row r="136" spans="2:5" x14ac:dyDescent="0.3">
      <c r="B136">
        <f t="shared" si="19"/>
        <v>6.5749999999999851</v>
      </c>
      <c r="C136">
        <f t="shared" si="16"/>
        <v>-0.99609680369549403</v>
      </c>
      <c r="D136">
        <f t="shared" si="17"/>
        <v>-8.82675346184571E-2</v>
      </c>
      <c r="E136">
        <f t="shared" si="18"/>
        <v>0.45412875501788735</v>
      </c>
    </row>
    <row r="137" spans="2:5" x14ac:dyDescent="0.3">
      <c r="B137">
        <f t="shared" si="19"/>
        <v>6.6249999999999849</v>
      </c>
      <c r="C137">
        <f t="shared" si="16"/>
        <v>-0.99783881434824295</v>
      </c>
      <c r="D137">
        <f t="shared" si="17"/>
        <v>-6.5709212292438354E-2</v>
      </c>
      <c r="E137">
        <f t="shared" si="18"/>
        <v>0.45105893236258399</v>
      </c>
    </row>
    <row r="138" spans="2:5" x14ac:dyDescent="0.3">
      <c r="B138">
        <f t="shared" si="19"/>
        <v>6.6749999999999847</v>
      </c>
      <c r="C138">
        <f t="shared" si="16"/>
        <v>-0.99906435611137379</v>
      </c>
      <c r="D138">
        <f t="shared" si="17"/>
        <v>-4.3248264101187081E-2</v>
      </c>
      <c r="E138">
        <f t="shared" si="18"/>
        <v>0.44888342571118922</v>
      </c>
    </row>
    <row r="139" spans="2:5" x14ac:dyDescent="0.3">
      <c r="B139">
        <f t="shared" si="19"/>
        <v>6.7249999999999845</v>
      </c>
      <c r="C139">
        <f t="shared" si="16"/>
        <v>-0.99978257697370587</v>
      </c>
      <c r="D139">
        <f t="shared" si="17"/>
        <v>-2.0851829171938539E-2</v>
      </c>
      <c r="E139">
        <f t="shared" si="18"/>
        <v>0.44760232240667885</v>
      </c>
    </row>
    <row r="140" spans="2:5" x14ac:dyDescent="0.3">
      <c r="B140">
        <f t="shared" si="19"/>
        <v>6.7749999999999844</v>
      </c>
      <c r="C140">
        <f t="shared" si="16"/>
        <v>-0.99999885483789863</v>
      </c>
      <c r="D140">
        <f t="shared" si="17"/>
        <v>1.5133812776309285E-3</v>
      </c>
      <c r="E140">
        <f t="shared" si="18"/>
        <v>0.44721564402233649</v>
      </c>
    </row>
    <row r="141" spans="2:5" x14ac:dyDescent="0.3">
      <c r="B141">
        <f t="shared" si="19"/>
        <v>6.8249999999999842</v>
      </c>
      <c r="C141">
        <f t="shared" si="16"/>
        <v>-0.99971481158336462</v>
      </c>
      <c r="D141">
        <f t="shared" si="17"/>
        <v>2.3880860554794551E-2</v>
      </c>
      <c r="E141">
        <f t="shared" si="18"/>
        <v>0.44772339273335937</v>
      </c>
    </row>
    <row r="142" spans="2:5" x14ac:dyDescent="0.3">
      <c r="B142">
        <f t="shared" si="19"/>
        <v>6.874999999999984</v>
      </c>
      <c r="C142">
        <f t="shared" si="16"/>
        <v>-0.99892831738597465</v>
      </c>
      <c r="D142">
        <f t="shared" si="17"/>
        <v>4.6284087162065272E-2</v>
      </c>
      <c r="E142">
        <f t="shared" si="18"/>
        <v>0.44912556527049369</v>
      </c>
    </row>
    <row r="143" spans="2:5" x14ac:dyDescent="0.3">
      <c r="B143">
        <f t="shared" si="19"/>
        <v>6.9249999999999838</v>
      </c>
      <c r="C143">
        <f t="shared" si="16"/>
        <v>-0.99763348505297766</v>
      </c>
      <c r="D143">
        <f t="shared" si="17"/>
        <v>6.8756305173055976E-2</v>
      </c>
      <c r="E143">
        <f t="shared" si="18"/>
        <v>0.45142213459337627</v>
      </c>
    </row>
    <row r="144" spans="2:5" x14ac:dyDescent="0.3">
      <c r="B144">
        <f t="shared" si="19"/>
        <v>6.9749999999999837</v>
      </c>
      <c r="C144">
        <f t="shared" si="16"/>
        <v>-0.9958206546905366</v>
      </c>
      <c r="D144">
        <f t="shared" si="17"/>
        <v>9.1330299965078895E-2</v>
      </c>
      <c r="E144">
        <f t="shared" si="18"/>
        <v>0.45461299910293923</v>
      </c>
    </row>
    <row r="145" spans="2:5" x14ac:dyDescent="0.3">
      <c r="B145">
        <f t="shared" si="19"/>
        <v>7.0249999999999835</v>
      </c>
      <c r="C145">
        <f t="shared" si="16"/>
        <v>-0.99347636958846375</v>
      </c>
      <c r="D145">
        <f t="shared" si="17"/>
        <v>0.11403816496825213</v>
      </c>
      <c r="E145">
        <f t="shared" si="18"/>
        <v>0.45869789890020313</v>
      </c>
    </row>
    <row r="146" spans="2:5" x14ac:dyDescent="0.3">
      <c r="B146">
        <f t="shared" si="19"/>
        <v>7.0749999999999833</v>
      </c>
      <c r="C146">
        <f t="shared" si="16"/>
        <v>-0.99058334479651744</v>
      </c>
      <c r="D146">
        <f t="shared" si="17"/>
        <v>0.13691105511149987</v>
      </c>
      <c r="E146">
        <f t="shared" si="18"/>
        <v>0.46367629830453411</v>
      </c>
    </row>
    <row r="147" spans="2:5" x14ac:dyDescent="0.3">
      <c r="B147">
        <f t="shared" si="19"/>
        <v>7.1249999999999831</v>
      </c>
      <c r="C147">
        <f t="shared" si="16"/>
        <v>-0.98712043049274201</v>
      </c>
      <c r="D147">
        <f t="shared" si="17"/>
        <v>0.15997892268615835</v>
      </c>
      <c r="E147">
        <f t="shared" si="18"/>
        <v>0.46954723358045575</v>
      </c>
    </row>
    <row r="148" spans="2:5" x14ac:dyDescent="0.3">
      <c r="B148">
        <f t="shared" si="19"/>
        <v>7.1749999999999829</v>
      </c>
      <c r="C148">
        <f t="shared" si="16"/>
        <v>-0.98306257291965793</v>
      </c>
      <c r="D148">
        <f t="shared" si="17"/>
        <v>0.18327023141956866</v>
      </c>
      <c r="E148">
        <f t="shared" si="18"/>
        <v>0.47630912460256913</v>
      </c>
    </row>
    <row r="149" spans="2:5" x14ac:dyDescent="0.3">
      <c r="B149">
        <f t="shared" si="19"/>
        <v>7.2249999999999828</v>
      </c>
      <c r="C149">
        <f t="shared" si="16"/>
        <v>-0.97838077639993715</v>
      </c>
      <c r="D149">
        <f t="shared" si="17"/>
        <v>0.20681164466986901</v>
      </c>
      <c r="E149">
        <f t="shared" si="18"/>
        <v>0.48395954902950811</v>
      </c>
    </row>
    <row r="150" spans="2:5" x14ac:dyDescent="0.3">
      <c r="B150">
        <f t="shared" si="19"/>
        <v>7.2749999999999826</v>
      </c>
      <c r="C150">
        <f t="shared" si="16"/>
        <v>-0.97304207074866045</v>
      </c>
      <c r="D150">
        <f t="shared" si="17"/>
        <v>0.23062768383947102</v>
      </c>
      <c r="E150">
        <f t="shared" si="18"/>
        <v>0.49249497747949383</v>
      </c>
    </row>
    <row r="151" spans="2:5" x14ac:dyDescent="0.3">
      <c r="B151">
        <f t="shared" si="19"/>
        <v>7.3249999999999824</v>
      </c>
      <c r="C151">
        <f t="shared" si="16"/>
        <v>-0.96700948928027375</v>
      </c>
      <c r="D151">
        <f t="shared" si="17"/>
        <v>0.2547403533834095</v>
      </c>
      <c r="E151">
        <f t="shared" si="18"/>
        <v>0.50191046822468588</v>
      </c>
    </row>
    <row r="152" spans="2:5" x14ac:dyDescent="0.3">
      <c r="B152">
        <f t="shared" si="19"/>
        <v>7.3749999999999822</v>
      </c>
      <c r="C152">
        <f t="shared" si="16"/>
        <v>-0.96024206356656583</v>
      </c>
      <c r="D152">
        <f t="shared" si="17"/>
        <v>0.27916872918975599</v>
      </c>
      <c r="E152">
        <f t="shared" si="18"/>
        <v>0.51219932007563085</v>
      </c>
    </row>
    <row r="153" spans="2:5" x14ac:dyDescent="0.3">
      <c r="B153">
        <f t="shared" si="19"/>
        <v>7.4249999999999821</v>
      </c>
      <c r="C153">
        <f t="shared" si="16"/>
        <v>-0.95269484213314204</v>
      </c>
      <c r="D153">
        <f t="shared" si="17"/>
        <v>0.30392850766735835</v>
      </c>
      <c r="E153">
        <f t="shared" si="18"/>
        <v>0.52335268244112965</v>
      </c>
    </row>
    <row r="154" spans="2:5" x14ac:dyDescent="0.3">
      <c r="B154">
        <f t="shared" si="19"/>
        <v>7.4749999999999819</v>
      </c>
      <c r="C154">
        <f t="shared" si="16"/>
        <v>-0.94431894137409977</v>
      </c>
      <c r="D154">
        <f t="shared" si="17"/>
        <v>0.32903151363068489</v>
      </c>
      <c r="E154">
        <f t="shared" si="18"/>
        <v>0.53535912205703529</v>
      </c>
    </row>
    <row r="155" spans="2:5" x14ac:dyDescent="0.3">
      <c r="B155">
        <f t="shared" si="19"/>
        <v>7.5249999999999817</v>
      </c>
      <c r="C155">
        <f t="shared" si="16"/>
        <v>-0.93506163809627296</v>
      </c>
      <c r="D155">
        <f t="shared" si="17"/>
        <v>0.35448516606582364</v>
      </c>
      <c r="E155">
        <f t="shared" si="18"/>
        <v>0.54820414661745454</v>
      </c>
    </row>
    <row r="156" spans="2:5" x14ac:dyDescent="0.3">
      <c r="B156">
        <f t="shared" si="19"/>
        <v>7.5749999999999815</v>
      </c>
      <c r="C156">
        <f t="shared" si="16"/>
        <v>-0.92486651424163624</v>
      </c>
      <c r="D156">
        <f t="shared" si="17"/>
        <v>0.38029190214166425</v>
      </c>
      <c r="E156">
        <f t="shared" si="18"/>
        <v>0.56186968655340364</v>
      </c>
    </row>
    <row r="157" spans="2:5" x14ac:dyDescent="0.3">
      <c r="B157">
        <f t="shared" si="19"/>
        <v>7.6249999999999813</v>
      </c>
      <c r="C157">
        <f t="shared" si="16"/>
        <v>-0.91367366543057804</v>
      </c>
      <c r="D157">
        <f t="shared" si="17"/>
        <v>0.40644856144246866</v>
      </c>
      <c r="E157">
        <f t="shared" si="18"/>
        <v>0.57633353752746486</v>
      </c>
    </row>
    <row r="158" spans="2:5" x14ac:dyDescent="0.3">
      <c r="B158">
        <f t="shared" si="19"/>
        <v>7.6749999999999812</v>
      </c>
      <c r="C158">
        <f t="shared" si="16"/>
        <v>-0.90141998595361406</v>
      </c>
      <c r="D158">
        <f t="shared" si="17"/>
        <v>0.4329457343864081</v>
      </c>
      <c r="E158">
        <f t="shared" si="18"/>
        <v>0.59156876788646384</v>
      </c>
    </row>
    <row r="159" spans="2:5" x14ac:dyDescent="0.3">
      <c r="B159">
        <f t="shared" si="19"/>
        <v>7.724999999999981</v>
      </c>
      <c r="C159">
        <f t="shared" si="16"/>
        <v>-0.88803954362865978</v>
      </c>
      <c r="D159">
        <f t="shared" si="17"/>
        <v>0.45976708119633963</v>
      </c>
      <c r="E159">
        <f t="shared" si="18"/>
        <v>0.607543097369595</v>
      </c>
    </row>
    <row r="160" spans="2:5" x14ac:dyDescent="0.3">
      <c r="B160">
        <f t="shared" si="19"/>
        <v>7.7749999999999808</v>
      </c>
      <c r="C160">
        <f t="shared" si="16"/>
        <v>-0.87346405842743569</v>
      </c>
      <c r="D160">
        <f t="shared" si="17"/>
        <v>0.48688863062868226</v>
      </c>
      <c r="E160">
        <f t="shared" si="18"/>
        <v>0.62421825582754198</v>
      </c>
    </row>
    <row r="161" spans="2:5" x14ac:dyDescent="0.3">
      <c r="B161">
        <f t="shared" si="19"/>
        <v>7.8249999999999806</v>
      </c>
      <c r="C161">
        <f t="shared" si="16"/>
        <v>-0.85762349882773792</v>
      </c>
      <c r="D161">
        <f t="shared" si="17"/>
        <v>0.51427807094845979</v>
      </c>
      <c r="E161">
        <f t="shared" si="18"/>
        <v>0.64154933357207633</v>
      </c>
    </row>
    <row r="162" spans="2:5" x14ac:dyDescent="0.3">
      <c r="B162">
        <f t="shared" si="19"/>
        <v>7.8749999999999805</v>
      </c>
      <c r="C162">
        <f t="shared" si="16"/>
        <v>-0.84044680931659554</v>
      </c>
      <c r="D162">
        <f t="shared" si="17"/>
        <v>0.5418940493394937</v>
      </c>
      <c r="E162">
        <f t="shared" si="18"/>
        <v>0.65948413822293162</v>
      </c>
    </row>
    <row r="163" spans="2:5" x14ac:dyDescent="0.3">
      <c r="B163">
        <f t="shared" si="19"/>
        <v>7.9249999999999803</v>
      </c>
      <c r="C163">
        <f t="shared" si="16"/>
        <v>-0.82186278118347167</v>
      </c>
      <c r="D163">
        <f t="shared" si="17"/>
        <v>0.56968549999571616</v>
      </c>
      <c r="E163">
        <f t="shared" si="18"/>
        <v>0.67796257649246039</v>
      </c>
    </row>
    <row r="164" spans="2:5" x14ac:dyDescent="0.3">
      <c r="B164">
        <f t="shared" si="19"/>
        <v>7.9749999999999801</v>
      </c>
      <c r="C164">
        <f t="shared" si="16"/>
        <v>-0.80180107652275645</v>
      </c>
      <c r="D164">
        <f t="shared" si="17"/>
        <v>0.59759102544043352</v>
      </c>
      <c r="E164">
        <f t="shared" si="18"/>
        <v>0.69691608314743247</v>
      </c>
    </row>
    <row r="165" spans="2:5" x14ac:dyDescent="0.3">
      <c r="B165">
        <f t="shared" si="19"/>
        <v>8.0249999999999808</v>
      </c>
      <c r="C165">
        <f t="shared" ref="C165:C196" si="20">jacobiSn(B165, m)</f>
        <v>-0.78019341203180459</v>
      </c>
      <c r="D165">
        <f t="shared" ref="D165:D196" si="21">jacobiCn(B165, m)</f>
        <v>0.62553835999255136</v>
      </c>
      <c r="E165">
        <f t="shared" ref="E165:E196" si="22">jacobidn(B165, m)</f>
        <v>0.71626712325621689</v>
      </c>
    </row>
    <row r="166" spans="2:5" x14ac:dyDescent="0.3">
      <c r="B166">
        <f t="shared" ref="B166:B197" si="23">B165+xM/200</f>
        <v>8.0749999999999815</v>
      </c>
      <c r="C166">
        <f t="shared" si="20"/>
        <v>-0.75697490458294203</v>
      </c>
      <c r="D166">
        <f t="shared" si="21"/>
        <v>0.65344394850028698</v>
      </c>
      <c r="E166">
        <f t="shared" si="22"/>
        <v>0.73592879755130969</v>
      </c>
    </row>
    <row r="167" spans="2:5" x14ac:dyDescent="0.3">
      <c r="B167">
        <f t="shared" si="23"/>
        <v>8.1249999999999822</v>
      </c>
      <c r="C167">
        <f t="shared" si="20"/>
        <v>-0.73208557454293532</v>
      </c>
      <c r="D167">
        <f t="shared" si="21"/>
        <v>0.68121267717662182</v>
      </c>
      <c r="E167">
        <f t="shared" si="22"/>
        <v>0.75580458402745365</v>
      </c>
    </row>
    <row r="168" spans="2:5" x14ac:dyDescent="0.3">
      <c r="B168">
        <f t="shared" si="23"/>
        <v>8.1749999999999829</v>
      </c>
      <c r="C168">
        <f t="shared" si="20"/>
        <v>-0.70547199535568061</v>
      </c>
      <c r="D168">
        <f t="shared" si="21"/>
        <v>0.70873779620454458</v>
      </c>
      <c r="E168">
        <f t="shared" si="22"/>
        <v>0.77578825140311303</v>
      </c>
    </row>
    <row r="169" spans="2:5" x14ac:dyDescent="0.3">
      <c r="B169">
        <f t="shared" si="23"/>
        <v>8.2249999999999837</v>
      </c>
      <c r="C169">
        <f t="shared" si="20"/>
        <v>-0.67708906903570942</v>
      </c>
      <c r="D169">
        <f t="shared" si="21"/>
        <v>0.73590107527598869</v>
      </c>
      <c r="E169">
        <f t="shared" si="22"/>
        <v>0.79576398138762539</v>
      </c>
    </row>
    <row r="170" spans="2:5" x14ac:dyDescent="0.3">
      <c r="B170">
        <f t="shared" si="23"/>
        <v>8.2749999999999844</v>
      </c>
      <c r="C170">
        <f t="shared" si="20"/>
        <v>-0.64690189711509916</v>
      </c>
      <c r="D170">
        <f t="shared" si="21"/>
        <v>0.76257323288251189</v>
      </c>
      <c r="E170">
        <f t="shared" si="22"/>
        <v>0.81560673636692604</v>
      </c>
    </row>
    <row r="171" spans="2:5" x14ac:dyDescent="0.3">
      <c r="B171">
        <f t="shared" si="23"/>
        <v>8.3249999999999851</v>
      </c>
      <c r="C171">
        <f t="shared" si="20"/>
        <v>-0.61488770558028405</v>
      </c>
      <c r="D171">
        <f t="shared" si="21"/>
        <v>0.78861467747323466</v>
      </c>
      <c r="E171">
        <f t="shared" si="22"/>
        <v>0.83518290668629658</v>
      </c>
    </row>
    <row r="172" spans="2:5" x14ac:dyDescent="0.3">
      <c r="B172">
        <f t="shared" si="23"/>
        <v>8.3749999999999858</v>
      </c>
      <c r="C172">
        <f t="shared" si="20"/>
        <v>-0.58103777094957743</v>
      </c>
      <c r="D172">
        <f t="shared" si="21"/>
        <v>0.81387659305938165</v>
      </c>
      <c r="E172">
        <f t="shared" si="22"/>
        <v>0.85435126674217388</v>
      </c>
    </row>
    <row r="173" spans="2:5" x14ac:dyDescent="0.3">
      <c r="B173">
        <f t="shared" si="23"/>
        <v>8.4249999999999865</v>
      </c>
      <c r="C173">
        <f t="shared" si="20"/>
        <v>-0.54535928359363117</v>
      </c>
      <c r="D173">
        <f t="shared" si="21"/>
        <v>0.83820239309980582</v>
      </c>
      <c r="E173">
        <f t="shared" si="22"/>
        <v>0.87296426126078785</v>
      </c>
    </row>
    <row r="174" spans="2:5" x14ac:dyDescent="0.3">
      <c r="B174">
        <f t="shared" si="23"/>
        <v>8.4749999999999872</v>
      </c>
      <c r="C174">
        <f t="shared" si="20"/>
        <v>-0.5078770745894261</v>
      </c>
      <c r="D174">
        <f t="shared" si="21"/>
        <v>0.86142955434933066</v>
      </c>
      <c r="E174">
        <f t="shared" si="22"/>
        <v>0.89086963226119076</v>
      </c>
    </row>
    <row r="175" spans="2:5" x14ac:dyDescent="0.3">
      <c r="B175">
        <f t="shared" si="23"/>
        <v>8.5249999999999879</v>
      </c>
      <c r="C175">
        <f t="shared" si="20"/>
        <v>-0.46863512486691022</v>
      </c>
      <c r="D175">
        <f t="shared" si="21"/>
        <v>0.88339182684750683</v>
      </c>
      <c r="E175">
        <f t="shared" si="22"/>
        <v>0.90791238332384272</v>
      </c>
    </row>
    <row r="176" spans="2:5" x14ac:dyDescent="0.3">
      <c r="B176">
        <f t="shared" si="23"/>
        <v>8.5749999999999886</v>
      </c>
      <c r="C176">
        <f t="shared" si="20"/>
        <v>-0.42769777126993763</v>
      </c>
      <c r="D176">
        <f t="shared" si="21"/>
        <v>0.90392179775173476</v>
      </c>
      <c r="E176">
        <f t="shared" si="22"/>
        <v>0.92393706125503083</v>
      </c>
    </row>
    <row r="177" spans="2:5" x14ac:dyDescent="0.3">
      <c r="B177">
        <f t="shared" si="23"/>
        <v>8.6249999999999893</v>
      </c>
      <c r="C177">
        <f t="shared" si="20"/>
        <v>-0.38515052448890597</v>
      </c>
      <c r="D177">
        <f t="shared" si="21"/>
        <v>0.92285376603550828</v>
      </c>
      <c r="E177">
        <f t="shared" si="22"/>
        <v>0.93879031673145019</v>
      </c>
    </row>
    <row r="178" spans="2:5" x14ac:dyDescent="0.3">
      <c r="B178">
        <f t="shared" si="23"/>
        <v>8.6749999999999901</v>
      </c>
      <c r="C178">
        <f t="shared" si="20"/>
        <v>-0.34110041954264908</v>
      </c>
      <c r="D178">
        <f t="shared" si="21"/>
        <v>0.94002686333307983</v>
      </c>
      <c r="E178">
        <f t="shared" si="22"/>
        <v>0.95232368605966267</v>
      </c>
    </row>
    <row r="179" spans="2:5" x14ac:dyDescent="0.3">
      <c r="B179">
        <f t="shared" si="23"/>
        <v>8.7249999999999908</v>
      </c>
      <c r="C179">
        <f t="shared" si="20"/>
        <v>-0.29567583118669855</v>
      </c>
      <c r="D179">
        <f t="shared" si="21"/>
        <v>0.95528833492933163</v>
      </c>
      <c r="E179">
        <f t="shared" si="22"/>
        <v>0.9643965171451232</v>
      </c>
    </row>
    <row r="180" spans="2:5" x14ac:dyDescent="0.3">
      <c r="B180">
        <f t="shared" si="23"/>
        <v>8.7749999999999915</v>
      </c>
      <c r="C180">
        <f t="shared" si="20"/>
        <v>-0.24902570443840991</v>
      </c>
      <c r="D180">
        <f t="shared" si="21"/>
        <v>0.96849687584883504</v>
      </c>
      <c r="E180">
        <f t="shared" si="22"/>
        <v>0.97487894572770573</v>
      </c>
    </row>
    <row r="181" spans="2:5" x14ac:dyDescent="0.3">
      <c r="B181">
        <f t="shared" si="23"/>
        <v>8.8249999999999922</v>
      </c>
      <c r="C181">
        <f t="shared" si="20"/>
        <v>-0.20131817389516274</v>
      </c>
      <c r="D181">
        <f t="shared" si="21"/>
        <v>0.97952590208708468</v>
      </c>
      <c r="E181">
        <f t="shared" si="22"/>
        <v>0.98365481460094195</v>
      </c>
    </row>
    <row r="182" spans="2:5" x14ac:dyDescent="0.3">
      <c r="B182">
        <f t="shared" si="23"/>
        <v>8.8749999999999929</v>
      </c>
      <c r="C182">
        <f t="shared" si="20"/>
        <v>-0.15273857360190482</v>
      </c>
      <c r="D182">
        <f t="shared" si="21"/>
        <v>0.98826662805846854</v>
      </c>
      <c r="E182">
        <f t="shared" si="22"/>
        <v>0.99062442050821886</v>
      </c>
    </row>
    <row r="183" spans="2:5" x14ac:dyDescent="0.3">
      <c r="B183">
        <f t="shared" si="23"/>
        <v>8.9249999999999936</v>
      </c>
      <c r="C183">
        <f t="shared" si="20"/>
        <v>-0.1034868702014981</v>
      </c>
      <c r="D183">
        <f t="shared" si="21"/>
        <v>0.99463081979993873</v>
      </c>
      <c r="E183">
        <f t="shared" si="22"/>
        <v>0.99570697203379999</v>
      </c>
    </row>
    <row r="184" spans="2:5" x14ac:dyDescent="0.3">
      <c r="B184">
        <f t="shared" si="23"/>
        <v>8.9749999999999943</v>
      </c>
      <c r="C184">
        <f t="shared" si="20"/>
        <v>-5.3774583766769211E-2</v>
      </c>
      <c r="D184">
        <f t="shared" si="21"/>
        <v>0.99855310031100031</v>
      </c>
      <c r="E184">
        <f t="shared" si="22"/>
        <v>0.99884264792437083</v>
      </c>
    </row>
    <row r="185" spans="2:5" x14ac:dyDescent="0.3">
      <c r="B185">
        <f t="shared" si="23"/>
        <v>9.024999999999995</v>
      </c>
      <c r="C185">
        <f t="shared" si="20"/>
        <v>-3.8212905434407093E-3</v>
      </c>
      <c r="D185">
        <f t="shared" si="21"/>
        <v>0.99999269884263786</v>
      </c>
      <c r="E185">
        <f t="shared" si="22"/>
        <v>0.99999415907837486</v>
      </c>
    </row>
    <row r="186" spans="2:5" x14ac:dyDescent="0.3">
      <c r="B186">
        <f t="shared" si="23"/>
        <v>9.0749999999999957</v>
      </c>
      <c r="C186">
        <f t="shared" si="20"/>
        <v>4.6149172742544951E-2</v>
      </c>
      <c r="D186">
        <f t="shared" si="21"/>
        <v>0.99893455934569542</v>
      </c>
      <c r="E186">
        <f t="shared" si="22"/>
        <v>0.99914773836712611</v>
      </c>
    </row>
    <row r="187" spans="2:5" x14ac:dyDescent="0.3">
      <c r="B187">
        <f t="shared" si="23"/>
        <v>9.1249999999999964</v>
      </c>
      <c r="C187">
        <f t="shared" si="20"/>
        <v>9.5912664656675542E-2</v>
      </c>
      <c r="D187">
        <f t="shared" si="21"/>
        <v>0.99538975319140999</v>
      </c>
      <c r="E187">
        <f t="shared" si="22"/>
        <v>0.99631350919615902</v>
      </c>
    </row>
    <row r="188" spans="2:5" x14ac:dyDescent="0.3">
      <c r="B188">
        <f t="shared" si="23"/>
        <v>9.1749999999999972</v>
      </c>
      <c r="C188">
        <f t="shared" si="20"/>
        <v>0.145248706335487</v>
      </c>
      <c r="D188">
        <f t="shared" si="21"/>
        <v>0.98939517550262368</v>
      </c>
      <c r="E188">
        <f t="shared" si="22"/>
        <v>0.99152521432704577</v>
      </c>
    </row>
    <row r="189" spans="2:5" x14ac:dyDescent="0.3">
      <c r="B189">
        <f t="shared" si="23"/>
        <v>9.2249999999999979</v>
      </c>
      <c r="C189">
        <f t="shared" si="20"/>
        <v>0.19394431096405104</v>
      </c>
      <c r="D189">
        <f t="shared" si="21"/>
        <v>0.98101254030959228</v>
      </c>
      <c r="E189">
        <f t="shared" si="22"/>
        <v>0.98483931856711704</v>
      </c>
    </row>
    <row r="190" spans="2:5" x14ac:dyDescent="0.3">
      <c r="B190">
        <f t="shared" si="23"/>
        <v>9.2749999999999986</v>
      </c>
      <c r="C190">
        <f t="shared" si="20"/>
        <v>0.24179753494936199</v>
      </c>
      <c r="D190">
        <f t="shared" si="21"/>
        <v>0.97032672440390511</v>
      </c>
      <c r="E190">
        <f t="shared" si="22"/>
        <v>0.97633352993427902</v>
      </c>
    </row>
    <row r="191" spans="2:5" x14ac:dyDescent="0.3">
      <c r="B191">
        <f t="shared" si="23"/>
        <v>9.3249999999999993</v>
      </c>
      <c r="C191">
        <f t="shared" si="20"/>
        <v>0.28862062779052455</v>
      </c>
      <c r="D191">
        <f t="shared" si="21"/>
        <v>0.95744354048361702</v>
      </c>
      <c r="E191">
        <f t="shared" si="22"/>
        <v>0.96610481137971915</v>
      </c>
    </row>
    <row r="192" spans="2:5" x14ac:dyDescent="0.3">
      <c r="B192">
        <f t="shared" si="23"/>
        <v>9.375</v>
      </c>
      <c r="C192">
        <f t="shared" si="20"/>
        <v>0.33424268218307684</v>
      </c>
      <c r="D192">
        <f t="shared" si="21"/>
        <v>0.94248704468924271</v>
      </c>
      <c r="E192">
        <f t="shared" si="22"/>
        <v>0.95426697706965113</v>
      </c>
    </row>
    <row r="193" spans="2:5" x14ac:dyDescent="0.3">
      <c r="B193">
        <f t="shared" si="23"/>
        <v>9.4250000000000007</v>
      </c>
      <c r="C193">
        <f t="shared" si="20"/>
        <v>0.37851171521522664</v>
      </c>
      <c r="D193">
        <f t="shared" si="21"/>
        <v>0.92559650034171326</v>
      </c>
      <c r="E193">
        <f t="shared" si="22"/>
        <v>0.94094798217322395</v>
      </c>
    </row>
    <row r="194" spans="2:5" x14ac:dyDescent="0.3">
      <c r="B194">
        <f t="shared" si="23"/>
        <v>9.4750000000000014</v>
      </c>
      <c r="C194">
        <f t="shared" si="20"/>
        <v>0.42129614306661212</v>
      </c>
      <c r="D194">
        <f t="shared" si="21"/>
        <v>0.90692312785439355</v>
      </c>
      <c r="E194">
        <f t="shared" si="22"/>
        <v>0.92628702240167293</v>
      </c>
    </row>
    <row r="195" spans="2:5" x14ac:dyDescent="0.3">
      <c r="B195">
        <f t="shared" si="23"/>
        <v>9.5250000000000021</v>
      </c>
      <c r="C195">
        <f t="shared" si="20"/>
        <v>0.46248564285610116</v>
      </c>
      <c r="D195">
        <f t="shared" si="21"/>
        <v>0.88662677049138261</v>
      </c>
      <c r="E195">
        <f t="shared" si="22"/>
        <v>0.91043155927372321</v>
      </c>
    </row>
    <row r="196" spans="2:5" x14ac:dyDescent="0.3">
      <c r="B196">
        <f t="shared" si="23"/>
        <v>9.5750000000000028</v>
      </c>
      <c r="C196">
        <f t="shared" si="20"/>
        <v>0.50199142393234886</v>
      </c>
      <c r="D196">
        <f t="shared" si="21"/>
        <v>0.86487259772660896</v>
      </c>
      <c r="E196">
        <f t="shared" si="22"/>
        <v>0.8935343799981611</v>
      </c>
    </row>
    <row r="197" spans="2:5" x14ac:dyDescent="0.3">
      <c r="B197">
        <f t="shared" si="23"/>
        <v>9.6250000000000036</v>
      </c>
      <c r="C197">
        <f t="shared" ref="C197:C204" si="24">jacobiSn(B197, m)</f>
        <v>0.53974595517463386</v>
      </c>
      <c r="D197">
        <f t="shared" ref="D197:D204" si="25">jacobiCn(B197, m)</f>
        <v>0.84182795384367115</v>
      </c>
      <c r="E197">
        <f t="shared" ref="E197:E204" si="26">jacobidn(B197, m)</f>
        <v>0.87575078823721175</v>
      </c>
    </row>
    <row r="198" spans="2:5" x14ac:dyDescent="0.3">
      <c r="B198">
        <f t="shared" ref="B198:B204" si="27">B197+xM/200</f>
        <v>9.6750000000000043</v>
      </c>
      <c r="C198">
        <f t="shared" si="24"/>
        <v>0.57570221359596652</v>
      </c>
      <c r="D198">
        <f t="shared" si="25"/>
        <v>0.81765944088031184</v>
      </c>
      <c r="E198">
        <f t="shared" si="26"/>
        <v>0.85723600543173839</v>
      </c>
    </row>
    <row r="199" spans="2:5" x14ac:dyDescent="0.3">
      <c r="B199">
        <f t="shared" si="27"/>
        <v>9.725000000000005</v>
      </c>
      <c r="C199">
        <f t="shared" si="24"/>
        <v>0.60983253217904143</v>
      </c>
      <c r="D199">
        <f t="shared" si="25"/>
        <v>0.79253030396073709</v>
      </c>
      <c r="E199">
        <f t="shared" si="26"/>
        <v>0.83814284352780744</v>
      </c>
    </row>
    <row r="200" spans="2:5" x14ac:dyDescent="0.3">
      <c r="B200">
        <f t="shared" si="27"/>
        <v>9.7750000000000057</v>
      </c>
      <c r="C200">
        <f t="shared" si="24"/>
        <v>0.64212713148109202</v>
      </c>
      <c r="D200">
        <f t="shared" si="25"/>
        <v>0.76659816528339308</v>
      </c>
      <c r="E200">
        <f t="shared" si="26"/>
        <v>0.81861969046236094</v>
      </c>
    </row>
    <row r="201" spans="2:5" x14ac:dyDescent="0.3">
      <c r="B201">
        <f t="shared" si="27"/>
        <v>9.8250000000000064</v>
      </c>
      <c r="C201">
        <f t="shared" si="24"/>
        <v>0.67259242064960201</v>
      </c>
      <c r="D201">
        <f t="shared" si="25"/>
        <v>0.74001313210287623</v>
      </c>
      <c r="E201">
        <f t="shared" si="26"/>
        <v>0.79880883104017264</v>
      </c>
    </row>
    <row r="202" spans="2:5" x14ac:dyDescent="0.3">
      <c r="B202">
        <f t="shared" si="27"/>
        <v>9.8750000000000071</v>
      </c>
      <c r="C202">
        <f t="shared" si="24"/>
        <v>0.70124914996978094</v>
      </c>
      <c r="D202">
        <f t="shared" si="25"/>
        <v>0.71291628517425498</v>
      </c>
      <c r="E202">
        <f t="shared" si="26"/>
        <v>0.77884510894870984</v>
      </c>
    </row>
    <row r="203" spans="2:5" x14ac:dyDescent="0.3">
      <c r="B203">
        <f t="shared" si="27"/>
        <v>9.9250000000000078</v>
      </c>
      <c r="C203">
        <f t="shared" si="24"/>
        <v>0.72813048997937724</v>
      </c>
      <c r="D203">
        <f t="shared" si="25"/>
        <v>0.68543853813627376</v>
      </c>
      <c r="E203">
        <f t="shared" si="26"/>
        <v>0.75885492134525523</v>
      </c>
    </row>
    <row r="204" spans="2:5" x14ac:dyDescent="0.3">
      <c r="B204">
        <f t="shared" si="27"/>
        <v>9.9750000000000085</v>
      </c>
      <c r="C204">
        <f t="shared" si="24"/>
        <v>0.75328010265301604</v>
      </c>
      <c r="D204">
        <f t="shared" si="25"/>
        <v>0.65769984563405637</v>
      </c>
      <c r="E204">
        <f t="shared" si="26"/>
        <v>0.73895552610265336</v>
      </c>
    </row>
  </sheetData>
  <pageMargins left="0.7" right="0.7" top="0.75" bottom="0.75" header="0.3" footer="0.3"/>
  <pageSetup scale="6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1004"/>
  <sheetViews>
    <sheetView zoomScale="85" zoomScaleNormal="85" workbookViewId="0"/>
  </sheetViews>
  <sheetFormatPr defaultRowHeight="15.6" x14ac:dyDescent="0.3"/>
  <cols>
    <col min="2" max="2" width="10.5" customWidth="1"/>
    <col min="5" max="6" width="12.5" bestFit="1" customWidth="1"/>
  </cols>
  <sheetData>
    <row r="1" spans="1:8" ht="18" x14ac:dyDescent="0.35">
      <c r="A1" s="8" t="s">
        <v>11</v>
      </c>
    </row>
    <row r="2" spans="1:8" ht="12" customHeight="1" x14ac:dyDescent="0.35">
      <c r="A2" s="8"/>
      <c r="H2" t="s">
        <v>13</v>
      </c>
    </row>
    <row r="3" spans="1:8" x14ac:dyDescent="0.3">
      <c r="B3" t="s">
        <v>15</v>
      </c>
      <c r="C3" t="s">
        <v>10</v>
      </c>
    </row>
    <row r="4" spans="1:8" x14ac:dyDescent="0.3">
      <c r="B4" t="s">
        <v>14</v>
      </c>
      <c r="C4" t="s">
        <v>6</v>
      </c>
      <c r="D4" t="s">
        <v>7</v>
      </c>
      <c r="E4" t="s">
        <v>8</v>
      </c>
      <c r="F4" t="s">
        <v>9</v>
      </c>
    </row>
    <row r="5" spans="1:8" x14ac:dyDescent="0.3">
      <c r="B5">
        <v>0</v>
      </c>
      <c r="C5">
        <v>1.5707963267948899</v>
      </c>
      <c r="D5">
        <f>completeElliptic1($B5*$B5)</f>
        <v>1.5707963267948966</v>
      </c>
      <c r="E5">
        <f t="shared" ref="E5:E69" si="0">$D5-$C5</f>
        <v>6.6613381477509392E-15</v>
      </c>
      <c r="F5">
        <f t="shared" ref="F5:F69" si="1">$D5/$C5-1</f>
        <v>4.2188474935755949E-15</v>
      </c>
    </row>
    <row r="6" spans="1:8" x14ac:dyDescent="0.3">
      <c r="B6">
        <v>1E-3</v>
      </c>
      <c r="C6">
        <v>1.5707967194941901</v>
      </c>
      <c r="D6">
        <f t="shared" ref="D6:D69" si="2">completeElliptic1($B6*$B6)</f>
        <v>1.5707967194941992</v>
      </c>
      <c r="E6">
        <f t="shared" si="0"/>
        <v>9.1038288019262836E-15</v>
      </c>
      <c r="F6">
        <f t="shared" si="1"/>
        <v>5.773159728050814E-15</v>
      </c>
    </row>
    <row r="7" spans="1:8" x14ac:dyDescent="0.3">
      <c r="B7">
        <v>2E-3</v>
      </c>
      <c r="C7">
        <v>1.5707978975947501</v>
      </c>
      <c r="D7">
        <f t="shared" si="2"/>
        <v>1.5707978975947579</v>
      </c>
      <c r="E7">
        <f t="shared" si="0"/>
        <v>7.7715611723760958E-15</v>
      </c>
      <c r="F7">
        <f t="shared" si="1"/>
        <v>4.8849813083506888E-15</v>
      </c>
    </row>
    <row r="8" spans="1:8" x14ac:dyDescent="0.3">
      <c r="B8">
        <v>3.0000000000000001E-3</v>
      </c>
      <c r="C8">
        <v>1.57079986110452</v>
      </c>
      <c r="D8">
        <f t="shared" si="2"/>
        <v>1.5707998611045244</v>
      </c>
      <c r="E8">
        <f t="shared" si="0"/>
        <v>4.4408920985006262E-15</v>
      </c>
      <c r="F8">
        <f t="shared" si="1"/>
        <v>2.886579864025407E-15</v>
      </c>
    </row>
    <row r="9" spans="1:8" x14ac:dyDescent="0.3">
      <c r="B9">
        <v>4.0000000000000001E-3</v>
      </c>
      <c r="C9">
        <v>1.57080261003675</v>
      </c>
      <c r="D9">
        <f t="shared" si="2"/>
        <v>1.5708026100367531</v>
      </c>
      <c r="E9">
        <f t="shared" si="0"/>
        <v>3.1086244689504383E-15</v>
      </c>
      <c r="F9">
        <f t="shared" si="1"/>
        <v>1.9984014443252818E-15</v>
      </c>
    </row>
    <row r="10" spans="1:8" x14ac:dyDescent="0.3">
      <c r="B10">
        <v>5.0000000000000001E-3</v>
      </c>
      <c r="C10">
        <v>1.5708061444099899</v>
      </c>
      <c r="D10">
        <f t="shared" si="2"/>
        <v>1.5708061444099999</v>
      </c>
      <c r="E10">
        <f t="shared" si="0"/>
        <v>9.9920072216264089E-15</v>
      </c>
      <c r="F10">
        <f t="shared" si="1"/>
        <v>6.4392935428259079E-15</v>
      </c>
    </row>
    <row r="11" spans="1:8" x14ac:dyDescent="0.3">
      <c r="B11">
        <v>6.0000000000000001E-3</v>
      </c>
      <c r="C11">
        <v>1.57081046424812</v>
      </c>
      <c r="D11">
        <f t="shared" si="2"/>
        <v>1.5708104642481227</v>
      </c>
      <c r="E11">
        <f t="shared" si="0"/>
        <v>2.6645352591003757E-15</v>
      </c>
      <c r="F11">
        <f t="shared" si="1"/>
        <v>1.7763568394002505E-15</v>
      </c>
    </row>
    <row r="12" spans="1:8" x14ac:dyDescent="0.3">
      <c r="B12">
        <v>7.0000000000000001E-3</v>
      </c>
      <c r="C12">
        <v>1.5708155695802799</v>
      </c>
      <c r="D12">
        <f t="shared" si="2"/>
        <v>1.5708155695802826</v>
      </c>
      <c r="E12">
        <f t="shared" si="0"/>
        <v>2.6645352591003757E-15</v>
      </c>
      <c r="F12">
        <f t="shared" si="1"/>
        <v>1.7763568394002505E-15</v>
      </c>
    </row>
    <row r="13" spans="1:8" x14ac:dyDescent="0.3">
      <c r="B13">
        <v>8.0000000000000002E-3</v>
      </c>
      <c r="C13">
        <v>1.5708214604409401</v>
      </c>
      <c r="D13">
        <f t="shared" si="2"/>
        <v>1.5708214604409441</v>
      </c>
      <c r="E13">
        <f t="shared" si="0"/>
        <v>3.9968028886505635E-15</v>
      </c>
      <c r="F13">
        <f t="shared" si="1"/>
        <v>2.4424906541753444E-15</v>
      </c>
    </row>
    <row r="14" spans="1:8" x14ac:dyDescent="0.3">
      <c r="B14">
        <v>8.9999999999999993E-3</v>
      </c>
      <c r="C14">
        <v>1.57082813686987</v>
      </c>
      <c r="D14">
        <f t="shared" si="2"/>
        <v>1.5708281368698764</v>
      </c>
      <c r="E14">
        <f t="shared" si="0"/>
        <v>6.4392935428259079E-15</v>
      </c>
      <c r="F14">
        <f t="shared" si="1"/>
        <v>3.9968028886505635E-15</v>
      </c>
    </row>
    <row r="15" spans="1:8" x14ac:dyDescent="0.3">
      <c r="B15">
        <v>0.01</v>
      </c>
      <c r="C15">
        <v>1.5708355989121501</v>
      </c>
      <c r="D15">
        <f t="shared" si="2"/>
        <v>1.5708355989121521</v>
      </c>
      <c r="E15">
        <f t="shared" si="0"/>
        <v>1.9984014443252818E-15</v>
      </c>
      <c r="F15">
        <f t="shared" si="1"/>
        <v>0</v>
      </c>
    </row>
    <row r="16" spans="1:8" x14ac:dyDescent="0.3">
      <c r="B16">
        <v>1.0999999999999999E-2</v>
      </c>
      <c r="C16">
        <v>1.57084384661815</v>
      </c>
      <c r="D16">
        <f t="shared" si="2"/>
        <v>1.5708438466181518</v>
      </c>
      <c r="E16">
        <f t="shared" si="0"/>
        <v>1.7763568394002505E-15</v>
      </c>
      <c r="F16">
        <f t="shared" si="1"/>
        <v>0</v>
      </c>
    </row>
    <row r="17" spans="2:6" x14ac:dyDescent="0.3">
      <c r="B17">
        <v>1.2E-2</v>
      </c>
      <c r="C17">
        <v>1.5708528800435599</v>
      </c>
      <c r="D17">
        <f t="shared" si="2"/>
        <v>1.5708528800435613</v>
      </c>
      <c r="E17">
        <f t="shared" si="0"/>
        <v>0</v>
      </c>
      <c r="F17">
        <f t="shared" si="1"/>
        <v>0</v>
      </c>
    </row>
    <row r="18" spans="2:6" x14ac:dyDescent="0.3">
      <c r="B18">
        <v>1.2999999999999999E-2</v>
      </c>
      <c r="C18">
        <v>1.5708626992493699</v>
      </c>
      <c r="D18">
        <f t="shared" si="2"/>
        <v>1.5708626992493757</v>
      </c>
      <c r="E18">
        <f t="shared" si="0"/>
        <v>5.773159728050814E-15</v>
      </c>
      <c r="F18">
        <f t="shared" si="1"/>
        <v>3.7747582837255322E-15</v>
      </c>
    </row>
    <row r="19" spans="2:6" x14ac:dyDescent="0.3">
      <c r="B19">
        <v>1.4E-2</v>
      </c>
      <c r="C19">
        <v>1.5708733043018901</v>
      </c>
      <c r="D19">
        <f t="shared" si="2"/>
        <v>1.5708733043018992</v>
      </c>
      <c r="E19">
        <f t="shared" si="0"/>
        <v>9.1038288019262836E-15</v>
      </c>
      <c r="F19">
        <f t="shared" si="1"/>
        <v>5.773159728050814E-15</v>
      </c>
    </row>
    <row r="20" spans="2:6" x14ac:dyDescent="0.3">
      <c r="B20">
        <v>1.4999999999999999E-2</v>
      </c>
      <c r="C20">
        <v>1.57088469527274</v>
      </c>
      <c r="D20">
        <f t="shared" si="2"/>
        <v>1.5708846952727464</v>
      </c>
      <c r="E20">
        <f t="shared" si="0"/>
        <v>6.4392935428259079E-15</v>
      </c>
      <c r="F20">
        <f t="shared" si="1"/>
        <v>3.9968028886505635E-15</v>
      </c>
    </row>
    <row r="21" spans="2:6" x14ac:dyDescent="0.3">
      <c r="B21">
        <v>1.6E-2</v>
      </c>
      <c r="C21">
        <v>1.5708968722388399</v>
      </c>
      <c r="D21">
        <f t="shared" si="2"/>
        <v>1.5708968722388443</v>
      </c>
      <c r="E21">
        <f t="shared" si="0"/>
        <v>4.4408920985006262E-15</v>
      </c>
      <c r="F21">
        <f t="shared" si="1"/>
        <v>2.886579864025407E-15</v>
      </c>
    </row>
    <row r="22" spans="2:6" x14ac:dyDescent="0.3">
      <c r="B22">
        <v>1.7000000000000001E-2</v>
      </c>
      <c r="C22">
        <v>1.57090983528243</v>
      </c>
      <c r="D22">
        <f t="shared" si="2"/>
        <v>1.5709098352824349</v>
      </c>
      <c r="E22">
        <f t="shared" si="0"/>
        <v>4.8849813083506888E-15</v>
      </c>
      <c r="F22">
        <f t="shared" si="1"/>
        <v>3.1086244689504383E-15</v>
      </c>
    </row>
    <row r="23" spans="2:6" x14ac:dyDescent="0.3">
      <c r="B23">
        <v>1.7999999999999999E-2</v>
      </c>
      <c r="C23">
        <v>1.5709235844910701</v>
      </c>
      <c r="D23">
        <f t="shared" si="2"/>
        <v>1.5709235844910738</v>
      </c>
      <c r="E23">
        <f t="shared" si="0"/>
        <v>3.7747582837255322E-15</v>
      </c>
      <c r="F23">
        <f t="shared" si="1"/>
        <v>2.4424906541753444E-15</v>
      </c>
    </row>
    <row r="24" spans="2:6" x14ac:dyDescent="0.3">
      <c r="B24">
        <v>1.9E-2</v>
      </c>
      <c r="C24">
        <v>1.57093811995763</v>
      </c>
      <c r="D24">
        <f t="shared" si="2"/>
        <v>1.5709381199576358</v>
      </c>
      <c r="E24">
        <f t="shared" si="0"/>
        <v>5.773159728050814E-15</v>
      </c>
      <c r="F24">
        <f t="shared" si="1"/>
        <v>3.7747582837255322E-15</v>
      </c>
    </row>
    <row r="25" spans="2:6" x14ac:dyDescent="0.3">
      <c r="B25">
        <v>0.02</v>
      </c>
      <c r="C25">
        <v>1.5709534417803099</v>
      </c>
      <c r="D25">
        <f t="shared" si="2"/>
        <v>1.5709534417803139</v>
      </c>
      <c r="E25">
        <f t="shared" si="0"/>
        <v>3.9968028886505635E-15</v>
      </c>
      <c r="F25">
        <f t="shared" si="1"/>
        <v>2.4424906541753444E-15</v>
      </c>
    </row>
    <row r="26" spans="2:6" x14ac:dyDescent="0.3">
      <c r="B26">
        <v>2.1000000000000001E-2</v>
      </c>
      <c r="C26">
        <v>1.57096955006262</v>
      </c>
      <c r="D26">
        <f t="shared" si="2"/>
        <v>1.5709695500626235</v>
      </c>
      <c r="E26">
        <f t="shared" si="0"/>
        <v>3.5527136788005009E-15</v>
      </c>
      <c r="F26">
        <f t="shared" si="1"/>
        <v>2.2204460492503131E-15</v>
      </c>
    </row>
    <row r="27" spans="2:6" x14ac:dyDescent="0.3">
      <c r="B27">
        <v>2.1999999999999999E-2</v>
      </c>
      <c r="C27">
        <v>1.5709864449133999</v>
      </c>
      <c r="D27">
        <f t="shared" si="2"/>
        <v>1.5709864449134028</v>
      </c>
      <c r="E27">
        <f t="shared" si="0"/>
        <v>2.886579864025407E-15</v>
      </c>
      <c r="F27">
        <f t="shared" si="1"/>
        <v>1.7763568394002505E-15</v>
      </c>
    </row>
    <row r="28" spans="2:6" x14ac:dyDescent="0.3">
      <c r="B28">
        <v>2.3E-2</v>
      </c>
      <c r="C28">
        <v>1.57100412644681</v>
      </c>
      <c r="D28">
        <f t="shared" si="2"/>
        <v>1.5710041264468162</v>
      </c>
      <c r="E28">
        <f t="shared" si="0"/>
        <v>6.2172489379008766E-15</v>
      </c>
      <c r="F28">
        <f t="shared" si="1"/>
        <v>3.9968028886505635E-15</v>
      </c>
    </row>
    <row r="29" spans="2:6" x14ac:dyDescent="0.3">
      <c r="B29">
        <v>2.4E-2</v>
      </c>
      <c r="C29">
        <v>1.57102259478235</v>
      </c>
      <c r="D29">
        <f t="shared" si="2"/>
        <v>1.5710225947823562</v>
      </c>
      <c r="E29">
        <f t="shared" si="0"/>
        <v>6.2172489379008766E-15</v>
      </c>
      <c r="F29">
        <f t="shared" si="1"/>
        <v>3.9968028886505635E-15</v>
      </c>
    </row>
    <row r="30" spans="2:6" x14ac:dyDescent="0.3">
      <c r="B30">
        <v>2.5000000000000001E-2</v>
      </c>
      <c r="C30">
        <v>1.57104185004484</v>
      </c>
      <c r="D30">
        <f t="shared" si="2"/>
        <v>1.5710418500448462</v>
      </c>
      <c r="E30">
        <f t="shared" si="0"/>
        <v>6.2172489379008766E-15</v>
      </c>
      <c r="F30">
        <f t="shared" si="1"/>
        <v>3.9968028886505635E-15</v>
      </c>
    </row>
    <row r="31" spans="2:6" x14ac:dyDescent="0.3">
      <c r="B31">
        <v>2.5999999999999999E-2</v>
      </c>
      <c r="C31">
        <v>1.5710618923644399</v>
      </c>
      <c r="D31">
        <f t="shared" si="2"/>
        <v>1.5710618923644428</v>
      </c>
      <c r="E31">
        <f t="shared" si="0"/>
        <v>2.886579864025407E-15</v>
      </c>
      <c r="F31">
        <f t="shared" si="1"/>
        <v>1.7763568394002505E-15</v>
      </c>
    </row>
    <row r="32" spans="2:6" x14ac:dyDescent="0.3">
      <c r="B32">
        <v>2.7E-2</v>
      </c>
      <c r="C32">
        <v>1.5710827218766299</v>
      </c>
      <c r="D32">
        <f t="shared" si="2"/>
        <v>1.5710827218766386</v>
      </c>
      <c r="E32">
        <f t="shared" si="0"/>
        <v>8.659739592076221E-15</v>
      </c>
      <c r="F32">
        <f t="shared" si="1"/>
        <v>5.5511151231257827E-15</v>
      </c>
    </row>
    <row r="33" spans="2:6" x14ac:dyDescent="0.3">
      <c r="B33">
        <v>2.8000000000000001E-2</v>
      </c>
      <c r="C33">
        <v>1.5711043387222601</v>
      </c>
      <c r="D33">
        <f t="shared" si="2"/>
        <v>1.5711043387222652</v>
      </c>
      <c r="E33">
        <f t="shared" si="0"/>
        <v>5.1070259132757201E-15</v>
      </c>
      <c r="F33">
        <f t="shared" si="1"/>
        <v>3.3306690738754696E-15</v>
      </c>
    </row>
    <row r="34" spans="2:6" x14ac:dyDescent="0.3">
      <c r="B34">
        <v>2.9000000000000001E-2</v>
      </c>
      <c r="C34">
        <v>1.57112674304749</v>
      </c>
      <c r="D34">
        <f t="shared" si="2"/>
        <v>1.571126743047496</v>
      </c>
      <c r="E34">
        <f t="shared" si="0"/>
        <v>5.9952043329758453E-15</v>
      </c>
      <c r="F34">
        <f t="shared" si="1"/>
        <v>3.7747582837255322E-15</v>
      </c>
    </row>
    <row r="35" spans="2:6" x14ac:dyDescent="0.3">
      <c r="B35">
        <v>0.03</v>
      </c>
      <c r="C35">
        <v>1.57114993500384</v>
      </c>
      <c r="D35">
        <f t="shared" si="2"/>
        <v>1.5711499350038487</v>
      </c>
      <c r="E35">
        <f t="shared" si="0"/>
        <v>8.659739592076221E-15</v>
      </c>
      <c r="F35">
        <f t="shared" si="1"/>
        <v>5.5511151231257827E-15</v>
      </c>
    </row>
    <row r="36" spans="2:6" x14ac:dyDescent="0.3">
      <c r="B36">
        <v>3.1E-2</v>
      </c>
      <c r="C36">
        <v>1.57117391474819</v>
      </c>
      <c r="D36">
        <f t="shared" si="2"/>
        <v>1.5711739147481907</v>
      </c>
      <c r="E36">
        <f t="shared" si="0"/>
        <v>0</v>
      </c>
      <c r="F36">
        <f t="shared" si="1"/>
        <v>0</v>
      </c>
    </row>
    <row r="37" spans="2:6" x14ac:dyDescent="0.3">
      <c r="B37">
        <v>3.2000000000000001E-2</v>
      </c>
      <c r="C37">
        <v>1.57119868244273</v>
      </c>
      <c r="D37">
        <f t="shared" si="2"/>
        <v>1.5711986824427384</v>
      </c>
      <c r="E37">
        <f t="shared" si="0"/>
        <v>8.4376949871511897E-15</v>
      </c>
      <c r="F37">
        <f t="shared" si="1"/>
        <v>5.3290705182007514E-15</v>
      </c>
    </row>
    <row r="38" spans="2:6" x14ac:dyDescent="0.3">
      <c r="B38">
        <v>3.3000000000000002E-2</v>
      </c>
      <c r="C38">
        <v>1.5712242382550601</v>
      </c>
      <c r="D38">
        <f t="shared" si="2"/>
        <v>1.5712242382550647</v>
      </c>
      <c r="E38">
        <f t="shared" si="0"/>
        <v>4.6629367034256575E-15</v>
      </c>
      <c r="F38">
        <f t="shared" si="1"/>
        <v>2.886579864025407E-15</v>
      </c>
    </row>
    <row r="39" spans="2:6" x14ac:dyDescent="0.3">
      <c r="B39">
        <v>3.4000000000000002E-2</v>
      </c>
      <c r="C39">
        <v>1.5712505823581</v>
      </c>
      <c r="D39">
        <f t="shared" si="2"/>
        <v>1.5712505823581002</v>
      </c>
      <c r="E39">
        <f t="shared" si="0"/>
        <v>0</v>
      </c>
      <c r="F39">
        <f t="shared" si="1"/>
        <v>0</v>
      </c>
    </row>
    <row r="40" spans="2:6" x14ac:dyDescent="0.3">
      <c r="B40">
        <v>3.5000000000000003E-2</v>
      </c>
      <c r="C40">
        <v>1.57127771493013</v>
      </c>
      <c r="D40">
        <f t="shared" si="2"/>
        <v>1.5712777149301371</v>
      </c>
      <c r="E40">
        <f t="shared" si="0"/>
        <v>7.1054273576010019E-15</v>
      </c>
      <c r="F40">
        <f t="shared" si="1"/>
        <v>4.4408920985006262E-15</v>
      </c>
    </row>
    <row r="41" spans="2:6" x14ac:dyDescent="0.3">
      <c r="B41">
        <v>3.5999999999999997E-2</v>
      </c>
      <c r="C41">
        <v>1.5713056361548301</v>
      </c>
      <c r="D41">
        <f t="shared" si="2"/>
        <v>1.5713056361548334</v>
      </c>
      <c r="E41">
        <f t="shared" si="0"/>
        <v>3.3306690738754696E-15</v>
      </c>
      <c r="F41">
        <f t="shared" si="1"/>
        <v>2.2204460492503131E-15</v>
      </c>
    </row>
    <row r="42" spans="2:6" x14ac:dyDescent="0.3">
      <c r="B42">
        <v>3.6999999999999998E-2</v>
      </c>
      <c r="C42">
        <v>1.5713343462212099</v>
      </c>
      <c r="D42">
        <f t="shared" si="2"/>
        <v>1.5713343462212159</v>
      </c>
      <c r="E42">
        <f t="shared" si="0"/>
        <v>5.9952043329758453E-15</v>
      </c>
      <c r="F42">
        <f t="shared" si="1"/>
        <v>3.7747582837255322E-15</v>
      </c>
    </row>
    <row r="43" spans="2:6" x14ac:dyDescent="0.3">
      <c r="B43">
        <v>3.7999999999999999E-2</v>
      </c>
      <c r="C43">
        <v>1.57136384532368</v>
      </c>
      <c r="D43">
        <f t="shared" si="2"/>
        <v>1.571363845323686</v>
      </c>
      <c r="E43">
        <f t="shared" si="0"/>
        <v>5.9952043329758453E-15</v>
      </c>
      <c r="F43">
        <f t="shared" si="1"/>
        <v>3.7747582837255322E-15</v>
      </c>
    </row>
    <row r="44" spans="2:6" x14ac:dyDescent="0.3">
      <c r="B44">
        <v>3.9E-2</v>
      </c>
      <c r="C44">
        <v>1.5713941336620201</v>
      </c>
      <c r="D44">
        <f t="shared" si="2"/>
        <v>1.5713941336620212</v>
      </c>
      <c r="E44">
        <f t="shared" si="0"/>
        <v>0</v>
      </c>
      <c r="F44">
        <f t="shared" si="1"/>
        <v>0</v>
      </c>
    </row>
    <row r="45" spans="2:6" x14ac:dyDescent="0.3">
      <c r="B45">
        <v>0.04</v>
      </c>
      <c r="C45">
        <v>1.57142521144138</v>
      </c>
      <c r="D45">
        <f t="shared" si="2"/>
        <v>1.5714252114413814</v>
      </c>
      <c r="E45">
        <f t="shared" si="0"/>
        <v>0</v>
      </c>
      <c r="F45">
        <f t="shared" si="1"/>
        <v>0</v>
      </c>
    </row>
    <row r="46" spans="2:6" x14ac:dyDescent="0.3">
      <c r="B46">
        <v>4.1000000000000002E-2</v>
      </c>
      <c r="C46">
        <v>1.5714570788723099</v>
      </c>
      <c r="D46">
        <f t="shared" si="2"/>
        <v>1.5714570788723123</v>
      </c>
      <c r="E46">
        <f t="shared" si="0"/>
        <v>2.4424906541753444E-15</v>
      </c>
      <c r="F46">
        <f t="shared" si="1"/>
        <v>0</v>
      </c>
    </row>
    <row r="47" spans="2:6" x14ac:dyDescent="0.3">
      <c r="B47">
        <v>4.2000000000000003E-2</v>
      </c>
      <c r="C47">
        <v>1.5714897361707401</v>
      </c>
      <c r="D47">
        <f t="shared" si="2"/>
        <v>1.5714897361707498</v>
      </c>
      <c r="E47">
        <f t="shared" si="0"/>
        <v>9.7699626167013776E-15</v>
      </c>
      <c r="F47">
        <f t="shared" si="1"/>
        <v>6.2172489379008766E-15</v>
      </c>
    </row>
    <row r="48" spans="2:6" x14ac:dyDescent="0.3">
      <c r="B48">
        <v>4.2999999999999997E-2</v>
      </c>
      <c r="C48">
        <v>1.5715231835580199</v>
      </c>
      <c r="D48">
        <f t="shared" si="2"/>
        <v>1.5715231835580248</v>
      </c>
      <c r="E48">
        <f t="shared" si="0"/>
        <v>4.8849813083506888E-15</v>
      </c>
      <c r="F48">
        <f t="shared" si="1"/>
        <v>3.1086244689504383E-15</v>
      </c>
    </row>
    <row r="49" spans="2:6" x14ac:dyDescent="0.3">
      <c r="B49">
        <v>4.3999999999999997E-2</v>
      </c>
      <c r="C49">
        <v>1.5715574212608601</v>
      </c>
      <c r="D49">
        <f t="shared" si="2"/>
        <v>1.5715574212608674</v>
      </c>
      <c r="E49">
        <f t="shared" si="0"/>
        <v>7.3274719625260332E-15</v>
      </c>
      <c r="F49">
        <f t="shared" si="1"/>
        <v>4.6629367034256575E-15</v>
      </c>
    </row>
    <row r="50" spans="2:6" x14ac:dyDescent="0.3">
      <c r="B50">
        <v>4.4999999999999998E-2</v>
      </c>
      <c r="C50">
        <v>1.57159244951141</v>
      </c>
      <c r="D50">
        <f t="shared" si="2"/>
        <v>1.5715924495114117</v>
      </c>
      <c r="E50">
        <f t="shared" si="0"/>
        <v>1.7763568394002505E-15</v>
      </c>
      <c r="F50">
        <f t="shared" si="1"/>
        <v>0</v>
      </c>
    </row>
    <row r="51" spans="2:6" x14ac:dyDescent="0.3">
      <c r="B51">
        <v>4.5999999999999999E-2</v>
      </c>
      <c r="C51">
        <v>1.5716282685472001</v>
      </c>
      <c r="D51">
        <f t="shared" si="2"/>
        <v>1.5716282685472023</v>
      </c>
      <c r="E51">
        <f t="shared" si="0"/>
        <v>2.2204460492503131E-15</v>
      </c>
      <c r="F51">
        <f t="shared" si="1"/>
        <v>0</v>
      </c>
    </row>
    <row r="52" spans="2:6" x14ac:dyDescent="0.3">
      <c r="B52">
        <v>4.7E-2</v>
      </c>
      <c r="C52">
        <v>1.57166487861119</v>
      </c>
      <c r="D52">
        <f t="shared" si="2"/>
        <v>1.571664878611196</v>
      </c>
      <c r="E52">
        <f t="shared" si="0"/>
        <v>5.9952043329758453E-15</v>
      </c>
      <c r="F52">
        <f t="shared" si="1"/>
        <v>3.7747582837255322E-15</v>
      </c>
    </row>
    <row r="53" spans="2:6" x14ac:dyDescent="0.3">
      <c r="B53">
        <v>4.8000000000000001E-2</v>
      </c>
      <c r="C53">
        <v>1.5717022799517699</v>
      </c>
      <c r="D53">
        <f t="shared" si="2"/>
        <v>1.5717022799517699</v>
      </c>
      <c r="E53">
        <f t="shared" si="0"/>
        <v>0</v>
      </c>
      <c r="F53">
        <f t="shared" si="1"/>
        <v>0</v>
      </c>
    </row>
    <row r="54" spans="2:6" x14ac:dyDescent="0.3">
      <c r="B54">
        <v>4.9000000000000002E-2</v>
      </c>
      <c r="C54">
        <v>1.57174047282272</v>
      </c>
      <c r="D54">
        <f t="shared" si="2"/>
        <v>1.571740472822726</v>
      </c>
      <c r="E54">
        <f t="shared" si="0"/>
        <v>5.9952043329758453E-15</v>
      </c>
      <c r="F54">
        <f t="shared" si="1"/>
        <v>3.7747582837255322E-15</v>
      </c>
    </row>
    <row r="55" spans="2:6" x14ac:dyDescent="0.3">
      <c r="B55">
        <v>0.05</v>
      </c>
      <c r="C55">
        <v>1.57177945748329</v>
      </c>
      <c r="D55">
        <f t="shared" si="2"/>
        <v>1.5717794574832944</v>
      </c>
      <c r="E55">
        <f t="shared" si="0"/>
        <v>4.4408920985006262E-15</v>
      </c>
      <c r="F55">
        <f t="shared" si="1"/>
        <v>2.886579864025407E-15</v>
      </c>
    </row>
    <row r="56" spans="2:6" x14ac:dyDescent="0.3">
      <c r="B56">
        <v>5.0999999999999997E-2</v>
      </c>
      <c r="C56">
        <v>1.5718192341981401</v>
      </c>
      <c r="D56">
        <f t="shared" si="2"/>
        <v>1.5718192341981423</v>
      </c>
      <c r="E56">
        <f t="shared" si="0"/>
        <v>2.2204460492503131E-15</v>
      </c>
      <c r="F56">
        <f t="shared" si="1"/>
        <v>0</v>
      </c>
    </row>
    <row r="57" spans="2:6" x14ac:dyDescent="0.3">
      <c r="B57">
        <v>5.1999999999999998E-2</v>
      </c>
      <c r="C57">
        <v>1.5718598032373701</v>
      </c>
      <c r="D57">
        <f t="shared" si="2"/>
        <v>1.5718598032373761</v>
      </c>
      <c r="E57">
        <f t="shared" si="0"/>
        <v>5.9952043329758453E-15</v>
      </c>
      <c r="F57">
        <f t="shared" si="1"/>
        <v>3.7747582837255322E-15</v>
      </c>
    </row>
    <row r="58" spans="2:6" x14ac:dyDescent="0.3">
      <c r="B58">
        <v>5.2999999999999999E-2</v>
      </c>
      <c r="C58">
        <v>1.57190116487654</v>
      </c>
      <c r="D58">
        <f t="shared" si="2"/>
        <v>1.5719011648765491</v>
      </c>
      <c r="E58">
        <f t="shared" si="0"/>
        <v>9.1038288019262836E-15</v>
      </c>
      <c r="F58">
        <f t="shared" si="1"/>
        <v>5.773159728050814E-15</v>
      </c>
    </row>
    <row r="59" spans="2:6" x14ac:dyDescent="0.3">
      <c r="B59">
        <v>5.3999999999999999E-2</v>
      </c>
      <c r="C59">
        <v>1.5719433193966601</v>
      </c>
      <c r="D59">
        <f t="shared" si="2"/>
        <v>1.5719433193966676</v>
      </c>
      <c r="E59">
        <f t="shared" si="0"/>
        <v>7.5495165674510645E-15</v>
      </c>
      <c r="F59">
        <f t="shared" si="1"/>
        <v>4.8849813083506888E-15</v>
      </c>
    </row>
    <row r="60" spans="2:6" x14ac:dyDescent="0.3">
      <c r="B60">
        <v>5.5E-2</v>
      </c>
      <c r="C60">
        <v>1.57198626708419</v>
      </c>
      <c r="D60">
        <f t="shared" si="2"/>
        <v>1.5719862670841951</v>
      </c>
      <c r="E60">
        <f t="shared" si="0"/>
        <v>5.1070259132757201E-15</v>
      </c>
      <c r="F60">
        <f t="shared" si="1"/>
        <v>3.3306690738754696E-15</v>
      </c>
    </row>
    <row r="61" spans="2:6" x14ac:dyDescent="0.3">
      <c r="B61">
        <v>5.6000000000000001E-2</v>
      </c>
      <c r="C61">
        <v>1.5720300082310501</v>
      </c>
      <c r="D61">
        <f t="shared" si="2"/>
        <v>1.5720300082310597</v>
      </c>
      <c r="E61">
        <f t="shared" si="0"/>
        <v>9.5479180117763462E-15</v>
      </c>
      <c r="F61">
        <f t="shared" si="1"/>
        <v>5.9952043329758453E-15</v>
      </c>
    </row>
    <row r="62" spans="2:6" x14ac:dyDescent="0.3">
      <c r="B62">
        <v>5.7000000000000002E-2</v>
      </c>
      <c r="C62">
        <v>1.5720745431346499</v>
      </c>
      <c r="D62">
        <f t="shared" si="2"/>
        <v>1.5720745431346597</v>
      </c>
      <c r="E62">
        <f t="shared" si="0"/>
        <v>9.7699626167013776E-15</v>
      </c>
      <c r="F62">
        <f t="shared" si="1"/>
        <v>6.2172489379008766E-15</v>
      </c>
    </row>
    <row r="63" spans="2:6" x14ac:dyDescent="0.3">
      <c r="B63">
        <v>5.8000000000000003E-2</v>
      </c>
      <c r="C63">
        <v>1.57211987209786</v>
      </c>
      <c r="D63">
        <f t="shared" si="2"/>
        <v>1.57211987209787</v>
      </c>
      <c r="E63">
        <f t="shared" si="0"/>
        <v>9.9920072216264089E-15</v>
      </c>
      <c r="F63">
        <f t="shared" si="1"/>
        <v>6.4392935428259079E-15</v>
      </c>
    </row>
    <row r="64" spans="2:6" x14ac:dyDescent="0.3">
      <c r="B64">
        <v>5.8999999999999997E-2</v>
      </c>
      <c r="C64">
        <v>1.5721659954290399</v>
      </c>
      <c r="D64">
        <f t="shared" si="2"/>
        <v>1.5721659954290483</v>
      </c>
      <c r="E64">
        <f t="shared" si="0"/>
        <v>8.4376949871511897E-15</v>
      </c>
      <c r="F64">
        <f t="shared" si="1"/>
        <v>5.3290705182007514E-15</v>
      </c>
    </row>
    <row r="65" spans="2:6" x14ac:dyDescent="0.3">
      <c r="B65">
        <v>0.06</v>
      </c>
      <c r="C65">
        <v>1.5722129134420399</v>
      </c>
      <c r="D65">
        <f t="shared" si="2"/>
        <v>1.5722129134420424</v>
      </c>
      <c r="E65">
        <f t="shared" si="0"/>
        <v>2.4424906541753444E-15</v>
      </c>
      <c r="F65">
        <f t="shared" si="1"/>
        <v>0</v>
      </c>
    </row>
    <row r="66" spans="2:6" x14ac:dyDescent="0.3">
      <c r="B66">
        <v>6.0999999999999999E-2</v>
      </c>
      <c r="C66">
        <v>1.57226062645619</v>
      </c>
      <c r="D66">
        <f t="shared" si="2"/>
        <v>1.5722606264561956</v>
      </c>
      <c r="E66">
        <f t="shared" si="0"/>
        <v>5.5511151231257827E-15</v>
      </c>
      <c r="F66">
        <f t="shared" si="1"/>
        <v>3.5527136788005009E-15</v>
      </c>
    </row>
    <row r="67" spans="2:6" x14ac:dyDescent="0.3">
      <c r="B67">
        <v>6.2E-2</v>
      </c>
      <c r="C67">
        <v>1.57230913479635</v>
      </c>
      <c r="D67">
        <f t="shared" si="2"/>
        <v>1.5723091347963545</v>
      </c>
      <c r="E67">
        <f t="shared" si="0"/>
        <v>4.4408920985006262E-15</v>
      </c>
      <c r="F67">
        <f t="shared" si="1"/>
        <v>2.886579864025407E-15</v>
      </c>
    </row>
    <row r="68" spans="2:6" x14ac:dyDescent="0.3">
      <c r="B68">
        <v>6.3E-2</v>
      </c>
      <c r="C68">
        <v>1.57235843879287</v>
      </c>
      <c r="D68">
        <f t="shared" si="2"/>
        <v>1.5723584387928746</v>
      </c>
      <c r="E68">
        <f t="shared" si="0"/>
        <v>4.6629367034256575E-15</v>
      </c>
      <c r="F68">
        <f t="shared" si="1"/>
        <v>2.886579864025407E-15</v>
      </c>
    </row>
    <row r="69" spans="2:6" x14ac:dyDescent="0.3">
      <c r="B69">
        <v>6.4000000000000001E-2</v>
      </c>
      <c r="C69">
        <v>1.57240853878162</v>
      </c>
      <c r="D69">
        <f t="shared" si="2"/>
        <v>1.5724085387816291</v>
      </c>
      <c r="E69">
        <f t="shared" si="0"/>
        <v>9.1038288019262836E-15</v>
      </c>
      <c r="F69">
        <f t="shared" si="1"/>
        <v>5.773159728050814E-15</v>
      </c>
    </row>
    <row r="70" spans="2:6" x14ac:dyDescent="0.3">
      <c r="B70">
        <v>6.5000000000000002E-2</v>
      </c>
      <c r="C70">
        <v>1.57245943510401</v>
      </c>
      <c r="D70">
        <f t="shared" ref="D70:D133" si="3">completeElliptic1($B70*$B70)</f>
        <v>1.572459435104014</v>
      </c>
      <c r="E70">
        <f t="shared" ref="E70:E133" si="4">$D70-$C70</f>
        <v>3.9968028886505635E-15</v>
      </c>
      <c r="F70">
        <f t="shared" ref="F70:F133" si="5">$D70/$C70-1</f>
        <v>2.4424906541753444E-15</v>
      </c>
    </row>
    <row r="71" spans="2:6" x14ac:dyDescent="0.3">
      <c r="B71">
        <v>6.6000000000000003E-2</v>
      </c>
      <c r="C71">
        <v>1.5725111281069499</v>
      </c>
      <c r="D71">
        <f t="shared" si="3"/>
        <v>1.5725111281069575</v>
      </c>
      <c r="E71">
        <f t="shared" si="4"/>
        <v>7.5495165674510645E-15</v>
      </c>
      <c r="F71">
        <f t="shared" si="5"/>
        <v>4.8849813083506888E-15</v>
      </c>
    </row>
    <row r="72" spans="2:6" x14ac:dyDescent="0.3">
      <c r="B72">
        <v>6.7000000000000004E-2</v>
      </c>
      <c r="C72">
        <v>1.5725636181429199</v>
      </c>
      <c r="D72">
        <f t="shared" si="3"/>
        <v>1.5725636181429246</v>
      </c>
      <c r="E72">
        <f t="shared" si="4"/>
        <v>4.6629367034256575E-15</v>
      </c>
      <c r="F72">
        <f t="shared" si="5"/>
        <v>2.886579864025407E-15</v>
      </c>
    </row>
    <row r="73" spans="2:6" x14ac:dyDescent="0.3">
      <c r="B73">
        <v>6.8000000000000005E-2</v>
      </c>
      <c r="C73">
        <v>1.57261690556992</v>
      </c>
      <c r="D73">
        <f t="shared" si="3"/>
        <v>1.5726169055699275</v>
      </c>
      <c r="E73">
        <f t="shared" si="4"/>
        <v>7.5495165674510645E-15</v>
      </c>
      <c r="F73">
        <f t="shared" si="5"/>
        <v>4.8849813083506888E-15</v>
      </c>
    </row>
    <row r="74" spans="2:6" x14ac:dyDescent="0.3">
      <c r="B74">
        <v>6.9000000000000006E-2</v>
      </c>
      <c r="C74">
        <v>1.5726709907515299</v>
      </c>
      <c r="D74">
        <f t="shared" si="3"/>
        <v>1.5726709907515308</v>
      </c>
      <c r="E74">
        <f t="shared" si="4"/>
        <v>0</v>
      </c>
      <c r="F74">
        <f t="shared" si="5"/>
        <v>0</v>
      </c>
    </row>
    <row r="75" spans="2:6" x14ac:dyDescent="0.3">
      <c r="B75">
        <v>7.0000000000000007E-2</v>
      </c>
      <c r="C75">
        <v>1.5727258740568599</v>
      </c>
      <c r="D75">
        <f t="shared" si="3"/>
        <v>1.572725874056861</v>
      </c>
      <c r="E75">
        <f t="shared" si="4"/>
        <v>0</v>
      </c>
      <c r="F75">
        <f t="shared" si="5"/>
        <v>0</v>
      </c>
    </row>
    <row r="76" spans="2:6" x14ac:dyDescent="0.3">
      <c r="B76">
        <v>7.0999999999999994E-2</v>
      </c>
      <c r="C76">
        <v>1.57278155586061</v>
      </c>
      <c r="D76">
        <f t="shared" si="3"/>
        <v>1.5727815558606129</v>
      </c>
      <c r="E76">
        <f t="shared" si="4"/>
        <v>2.886579864025407E-15</v>
      </c>
      <c r="F76">
        <f t="shared" si="5"/>
        <v>1.7763568394002505E-15</v>
      </c>
    </row>
    <row r="77" spans="2:6" x14ac:dyDescent="0.3">
      <c r="B77">
        <v>7.1999999999999995E-2</v>
      </c>
      <c r="C77">
        <v>1.5728380365430501</v>
      </c>
      <c r="D77">
        <f t="shared" si="3"/>
        <v>1.5728380365430579</v>
      </c>
      <c r="E77">
        <f t="shared" si="4"/>
        <v>7.7715611723760958E-15</v>
      </c>
      <c r="F77">
        <f t="shared" si="5"/>
        <v>4.8849813083506888E-15</v>
      </c>
    </row>
    <row r="78" spans="2:6" x14ac:dyDescent="0.3">
      <c r="B78">
        <v>7.2999999999999995E-2</v>
      </c>
      <c r="C78">
        <v>1.5728953164900501</v>
      </c>
      <c r="D78">
        <f t="shared" si="3"/>
        <v>1.5728953164900534</v>
      </c>
      <c r="E78">
        <f t="shared" si="4"/>
        <v>3.3306690738754696E-15</v>
      </c>
      <c r="F78">
        <f t="shared" si="5"/>
        <v>2.2204460492503131E-15</v>
      </c>
    </row>
    <row r="79" spans="2:6" x14ac:dyDescent="0.3">
      <c r="B79">
        <v>7.3999999999999996E-2</v>
      </c>
      <c r="C79">
        <v>1.57295339609304</v>
      </c>
      <c r="D79">
        <f t="shared" si="3"/>
        <v>1.5729533960930486</v>
      </c>
      <c r="E79">
        <f t="shared" si="4"/>
        <v>8.659739592076221E-15</v>
      </c>
      <c r="F79">
        <f t="shared" si="5"/>
        <v>5.5511151231257827E-15</v>
      </c>
    </row>
    <row r="80" spans="2:6" x14ac:dyDescent="0.3">
      <c r="B80">
        <v>7.4999999999999997E-2</v>
      </c>
      <c r="C80">
        <v>1.5730122757490901</v>
      </c>
      <c r="D80">
        <f t="shared" si="3"/>
        <v>1.5730122757490954</v>
      </c>
      <c r="E80">
        <f t="shared" si="4"/>
        <v>5.3290705182007514E-15</v>
      </c>
      <c r="F80">
        <f t="shared" si="5"/>
        <v>3.3306690738754696E-15</v>
      </c>
    </row>
    <row r="81" spans="2:6" x14ac:dyDescent="0.3">
      <c r="B81">
        <v>7.5999999999999998E-2</v>
      </c>
      <c r="C81">
        <v>1.5730719558608499</v>
      </c>
      <c r="D81">
        <f t="shared" si="3"/>
        <v>1.5730719558608544</v>
      </c>
      <c r="E81">
        <f t="shared" si="4"/>
        <v>4.4408920985006262E-15</v>
      </c>
      <c r="F81">
        <f t="shared" si="5"/>
        <v>2.886579864025407E-15</v>
      </c>
    </row>
    <row r="82" spans="2:6" x14ac:dyDescent="0.3">
      <c r="B82">
        <v>7.6999999999999999E-2</v>
      </c>
      <c r="C82">
        <v>1.5731324368366</v>
      </c>
      <c r="D82">
        <f t="shared" si="3"/>
        <v>1.5731324368366053</v>
      </c>
      <c r="E82">
        <f t="shared" si="4"/>
        <v>5.3290705182007514E-15</v>
      </c>
      <c r="F82">
        <f t="shared" si="5"/>
        <v>3.3306690738754696E-15</v>
      </c>
    </row>
    <row r="83" spans="2:6" x14ac:dyDescent="0.3">
      <c r="B83">
        <v>7.8E-2</v>
      </c>
      <c r="C83">
        <v>1.5731937190902501</v>
      </c>
      <c r="D83">
        <f t="shared" si="3"/>
        <v>1.5731937190902547</v>
      </c>
      <c r="E83">
        <f t="shared" si="4"/>
        <v>4.6629367034256575E-15</v>
      </c>
      <c r="F83">
        <f t="shared" si="5"/>
        <v>2.886579864025407E-15</v>
      </c>
    </row>
    <row r="84" spans="2:6" x14ac:dyDescent="0.3">
      <c r="B84">
        <v>7.9000000000000001E-2</v>
      </c>
      <c r="C84">
        <v>1.5732558030413399</v>
      </c>
      <c r="D84">
        <f t="shared" si="3"/>
        <v>1.5732558030413455</v>
      </c>
      <c r="E84">
        <f t="shared" si="4"/>
        <v>5.5511151231257827E-15</v>
      </c>
      <c r="F84">
        <f t="shared" si="5"/>
        <v>3.5527136788005009E-15</v>
      </c>
    </row>
    <row r="85" spans="2:6" x14ac:dyDescent="0.3">
      <c r="B85">
        <v>0.08</v>
      </c>
      <c r="C85">
        <v>1.5733186891150599</v>
      </c>
      <c r="D85">
        <f t="shared" si="3"/>
        <v>1.5733186891150646</v>
      </c>
      <c r="E85">
        <f t="shared" si="4"/>
        <v>4.6629367034256575E-15</v>
      </c>
      <c r="F85">
        <f t="shared" si="5"/>
        <v>2.886579864025407E-15</v>
      </c>
    </row>
    <row r="86" spans="2:6" x14ac:dyDescent="0.3">
      <c r="B86">
        <v>8.1000000000000003E-2</v>
      </c>
      <c r="C86">
        <v>1.57338237774225</v>
      </c>
      <c r="D86">
        <f t="shared" si="3"/>
        <v>1.5733823777422533</v>
      </c>
      <c r="E86">
        <f t="shared" si="4"/>
        <v>3.3306690738754696E-15</v>
      </c>
      <c r="F86">
        <f t="shared" si="5"/>
        <v>2.2204460492503131E-15</v>
      </c>
    </row>
    <row r="87" spans="2:6" x14ac:dyDescent="0.3">
      <c r="B87">
        <v>8.2000000000000003E-2</v>
      </c>
      <c r="C87">
        <v>1.5734468693594099</v>
      </c>
      <c r="D87">
        <f t="shared" si="3"/>
        <v>1.5734468693594164</v>
      </c>
      <c r="E87">
        <f t="shared" si="4"/>
        <v>6.4392935428259079E-15</v>
      </c>
      <c r="F87">
        <f t="shared" si="5"/>
        <v>3.9968028886505635E-15</v>
      </c>
    </row>
    <row r="88" spans="2:6" x14ac:dyDescent="0.3">
      <c r="B88">
        <v>8.3000000000000004E-2</v>
      </c>
      <c r="C88">
        <v>1.57351216440873</v>
      </c>
      <c r="D88">
        <f t="shared" si="3"/>
        <v>1.5735121644087304</v>
      </c>
      <c r="E88">
        <f t="shared" si="4"/>
        <v>0</v>
      </c>
      <c r="F88">
        <f t="shared" si="5"/>
        <v>0</v>
      </c>
    </row>
    <row r="89" spans="2:6" x14ac:dyDescent="0.3">
      <c r="B89">
        <v>8.4000000000000005E-2</v>
      </c>
      <c r="C89">
        <v>1.57357826333805</v>
      </c>
      <c r="D89">
        <f t="shared" si="3"/>
        <v>1.5735782633380542</v>
      </c>
      <c r="E89">
        <f t="shared" si="4"/>
        <v>4.2188474935755949E-15</v>
      </c>
      <c r="F89">
        <f t="shared" si="5"/>
        <v>2.6645352591003757E-15</v>
      </c>
    </row>
    <row r="90" spans="2:6" x14ac:dyDescent="0.3">
      <c r="B90">
        <v>8.5000000000000006E-2</v>
      </c>
      <c r="C90">
        <v>1.5736451666009299</v>
      </c>
      <c r="D90">
        <f t="shared" si="3"/>
        <v>1.5736451666009377</v>
      </c>
      <c r="E90">
        <f t="shared" si="4"/>
        <v>7.7715611723760958E-15</v>
      </c>
      <c r="F90">
        <f t="shared" si="5"/>
        <v>4.8849813083506888E-15</v>
      </c>
    </row>
    <row r="91" spans="2:6" x14ac:dyDescent="0.3">
      <c r="B91">
        <v>8.5999999999999993E-2</v>
      </c>
      <c r="C91">
        <v>1.57371287465663</v>
      </c>
      <c r="D91">
        <f t="shared" si="3"/>
        <v>1.573712874656632</v>
      </c>
      <c r="E91">
        <f t="shared" si="4"/>
        <v>1.9984014443252818E-15</v>
      </c>
      <c r="F91">
        <f t="shared" si="5"/>
        <v>0</v>
      </c>
    </row>
    <row r="92" spans="2:6" x14ac:dyDescent="0.3">
      <c r="B92">
        <v>8.6999999999999994E-2</v>
      </c>
      <c r="C92">
        <v>1.5737813879700899</v>
      </c>
      <c r="D92">
        <f t="shared" si="3"/>
        <v>1.5737813879700997</v>
      </c>
      <c r="E92">
        <f t="shared" si="4"/>
        <v>9.7699626167013776E-15</v>
      </c>
      <c r="F92">
        <f t="shared" si="5"/>
        <v>6.2172489379008766E-15</v>
      </c>
    </row>
    <row r="93" spans="2:6" x14ac:dyDescent="0.3">
      <c r="B93">
        <v>8.7999999999999995E-2</v>
      </c>
      <c r="C93">
        <v>1.57385070701202</v>
      </c>
      <c r="D93">
        <f t="shared" si="3"/>
        <v>1.5738507070120231</v>
      </c>
      <c r="E93">
        <f t="shared" si="4"/>
        <v>3.1086244689504383E-15</v>
      </c>
      <c r="F93">
        <f t="shared" si="5"/>
        <v>1.9984014443252818E-15</v>
      </c>
    </row>
    <row r="94" spans="2:6" x14ac:dyDescent="0.3">
      <c r="B94">
        <v>8.8999999999999996E-2</v>
      </c>
      <c r="C94">
        <v>1.5739208322588101</v>
      </c>
      <c r="D94">
        <f t="shared" si="3"/>
        <v>1.5739208322588167</v>
      </c>
      <c r="E94">
        <f t="shared" si="4"/>
        <v>6.6613381477509392E-15</v>
      </c>
      <c r="F94">
        <f t="shared" si="5"/>
        <v>4.2188474935755949E-15</v>
      </c>
    </row>
    <row r="95" spans="2:6" x14ac:dyDescent="0.3">
      <c r="B95">
        <v>0.09</v>
      </c>
      <c r="C95">
        <v>1.57399176419263</v>
      </c>
      <c r="D95">
        <f t="shared" si="3"/>
        <v>1.5739917641926353</v>
      </c>
      <c r="E95">
        <f t="shared" si="4"/>
        <v>5.3290705182007514E-15</v>
      </c>
      <c r="F95">
        <f t="shared" si="5"/>
        <v>3.3306690738754696E-15</v>
      </c>
    </row>
    <row r="96" spans="2:6" x14ac:dyDescent="0.3">
      <c r="B96">
        <v>9.0999999999999998E-2</v>
      </c>
      <c r="C96">
        <v>1.5740635033013799</v>
      </c>
      <c r="D96">
        <f t="shared" si="3"/>
        <v>1.5740635033013859</v>
      </c>
      <c r="E96">
        <f t="shared" si="4"/>
        <v>5.9952043329758453E-15</v>
      </c>
      <c r="F96">
        <f t="shared" si="5"/>
        <v>3.7747582837255322E-15</v>
      </c>
    </row>
    <row r="97" spans="2:6" x14ac:dyDescent="0.3">
      <c r="B97">
        <v>9.1999999999999998E-2</v>
      </c>
      <c r="C97">
        <v>1.57413605007873</v>
      </c>
      <c r="D97">
        <f t="shared" si="3"/>
        <v>1.5741360500787369</v>
      </c>
      <c r="E97">
        <f t="shared" si="4"/>
        <v>6.8833827526759706E-15</v>
      </c>
      <c r="F97">
        <f t="shared" si="5"/>
        <v>4.4408920985006262E-15</v>
      </c>
    </row>
    <row r="98" spans="2:6" x14ac:dyDescent="0.3">
      <c r="B98">
        <v>9.2999999999999999E-2</v>
      </c>
      <c r="C98">
        <v>1.57420940502412</v>
      </c>
      <c r="D98">
        <f t="shared" si="3"/>
        <v>1.5742094050241293</v>
      </c>
      <c r="E98">
        <f t="shared" si="4"/>
        <v>9.3258734068513149E-15</v>
      </c>
      <c r="F98">
        <f t="shared" si="5"/>
        <v>5.9952043329758453E-15</v>
      </c>
    </row>
    <row r="99" spans="2:6" x14ac:dyDescent="0.3">
      <c r="B99">
        <v>9.4E-2</v>
      </c>
      <c r="C99">
        <v>1.5742835686427801</v>
      </c>
      <c r="D99">
        <f t="shared" si="3"/>
        <v>1.5742835686427878</v>
      </c>
      <c r="E99">
        <f t="shared" si="4"/>
        <v>7.7715611723760958E-15</v>
      </c>
      <c r="F99">
        <f t="shared" si="5"/>
        <v>4.8849813083506888E-15</v>
      </c>
    </row>
    <row r="100" spans="2:6" x14ac:dyDescent="0.3">
      <c r="B100">
        <v>9.5000000000000001E-2</v>
      </c>
      <c r="C100">
        <v>1.57435854144573</v>
      </c>
      <c r="D100">
        <f t="shared" si="3"/>
        <v>1.5743585414457308</v>
      </c>
      <c r="E100">
        <f t="shared" si="4"/>
        <v>0</v>
      </c>
      <c r="F100">
        <f t="shared" si="5"/>
        <v>0</v>
      </c>
    </row>
    <row r="101" spans="2:6" x14ac:dyDescent="0.3">
      <c r="B101">
        <v>9.6000000000000002E-2</v>
      </c>
      <c r="C101">
        <v>1.57443432394978</v>
      </c>
      <c r="D101">
        <f t="shared" si="3"/>
        <v>1.5744343239497824</v>
      </c>
      <c r="E101">
        <f t="shared" si="4"/>
        <v>2.4424906541753444E-15</v>
      </c>
      <c r="F101">
        <f t="shared" si="5"/>
        <v>0</v>
      </c>
    </row>
    <row r="102" spans="2:6" x14ac:dyDescent="0.3">
      <c r="B102">
        <v>9.7000000000000003E-2</v>
      </c>
      <c r="C102">
        <v>1.5745109166775799</v>
      </c>
      <c r="D102">
        <f t="shared" si="3"/>
        <v>1.5745109166775826</v>
      </c>
      <c r="E102">
        <f t="shared" si="4"/>
        <v>2.6645352591003757E-15</v>
      </c>
      <c r="F102">
        <f t="shared" si="5"/>
        <v>1.7763568394002505E-15</v>
      </c>
    </row>
    <row r="103" spans="2:6" x14ac:dyDescent="0.3">
      <c r="B103">
        <v>9.8000000000000004E-2</v>
      </c>
      <c r="C103">
        <v>1.5745883201575901</v>
      </c>
      <c r="D103">
        <f t="shared" si="3"/>
        <v>1.5745883201575985</v>
      </c>
      <c r="E103">
        <f t="shared" si="4"/>
        <v>8.4376949871511897E-15</v>
      </c>
      <c r="F103">
        <f t="shared" si="5"/>
        <v>5.3290705182007514E-15</v>
      </c>
    </row>
    <row r="104" spans="2:6" x14ac:dyDescent="0.3">
      <c r="B104">
        <v>9.9000000000000005E-2</v>
      </c>
      <c r="C104">
        <v>1.57466653492413</v>
      </c>
      <c r="D104">
        <f t="shared" si="3"/>
        <v>1.5746665349241376</v>
      </c>
      <c r="E104">
        <f t="shared" si="4"/>
        <v>7.5495165674510645E-15</v>
      </c>
      <c r="F104">
        <f t="shared" si="5"/>
        <v>4.8849813083506888E-15</v>
      </c>
    </row>
    <row r="105" spans="2:6" x14ac:dyDescent="0.3">
      <c r="B105">
        <v>0.1</v>
      </c>
      <c r="C105">
        <v>1.57474556151735</v>
      </c>
      <c r="D105">
        <f t="shared" si="3"/>
        <v>1.574745561517356</v>
      </c>
      <c r="E105">
        <f t="shared" si="4"/>
        <v>5.9952043329758453E-15</v>
      </c>
      <c r="F105">
        <f t="shared" si="5"/>
        <v>3.7747582837255322E-15</v>
      </c>
    </row>
    <row r="106" spans="2:6" x14ac:dyDescent="0.3">
      <c r="B106">
        <v>0.10100000000000001</v>
      </c>
      <c r="C106">
        <v>1.57482540048327</v>
      </c>
      <c r="D106">
        <f t="shared" si="3"/>
        <v>1.5748254004832734</v>
      </c>
      <c r="E106">
        <f t="shared" si="4"/>
        <v>3.3306690738754696E-15</v>
      </c>
      <c r="F106">
        <f t="shared" si="5"/>
        <v>2.2204460492503131E-15</v>
      </c>
    </row>
    <row r="107" spans="2:6" x14ac:dyDescent="0.3">
      <c r="B107">
        <v>0.10199999999999999</v>
      </c>
      <c r="C107">
        <v>1.5749060523737799</v>
      </c>
      <c r="D107">
        <f t="shared" si="3"/>
        <v>1.5749060523737823</v>
      </c>
      <c r="E107">
        <f t="shared" si="4"/>
        <v>2.4424906541753444E-15</v>
      </c>
      <c r="F107">
        <f t="shared" si="5"/>
        <v>0</v>
      </c>
    </row>
    <row r="108" spans="2:6" x14ac:dyDescent="0.3">
      <c r="B108">
        <v>0.10299999999999999</v>
      </c>
      <c r="C108">
        <v>1.5749875177466599</v>
      </c>
      <c r="D108">
        <f t="shared" si="3"/>
        <v>1.5749875177466621</v>
      </c>
      <c r="E108">
        <f t="shared" si="4"/>
        <v>2.2204460492503131E-15</v>
      </c>
      <c r="F108">
        <f t="shared" si="5"/>
        <v>0</v>
      </c>
    </row>
    <row r="109" spans="2:6" x14ac:dyDescent="0.3">
      <c r="B109">
        <v>0.104</v>
      </c>
      <c r="C109">
        <v>1.57506979716558</v>
      </c>
      <c r="D109">
        <f t="shared" si="3"/>
        <v>1.5750697971655894</v>
      </c>
      <c r="E109">
        <f t="shared" si="4"/>
        <v>9.3258734068513149E-15</v>
      </c>
      <c r="F109">
        <f t="shared" si="5"/>
        <v>5.9952043329758453E-15</v>
      </c>
    </row>
    <row r="110" spans="2:6" x14ac:dyDescent="0.3">
      <c r="B110">
        <v>0.105</v>
      </c>
      <c r="C110">
        <v>1.57515289120015</v>
      </c>
      <c r="D110">
        <f t="shared" si="3"/>
        <v>1.5751528912001509</v>
      </c>
      <c r="E110">
        <f t="shared" si="4"/>
        <v>0</v>
      </c>
      <c r="F110">
        <f t="shared" si="5"/>
        <v>0</v>
      </c>
    </row>
    <row r="111" spans="2:6" x14ac:dyDescent="0.3">
      <c r="B111">
        <v>0.106</v>
      </c>
      <c r="C111">
        <v>1.5752368004258499</v>
      </c>
      <c r="D111">
        <f t="shared" si="3"/>
        <v>1.5752368004258561</v>
      </c>
      <c r="E111">
        <f t="shared" si="4"/>
        <v>6.2172489379008766E-15</v>
      </c>
      <c r="F111">
        <f t="shared" si="5"/>
        <v>3.9968028886505635E-15</v>
      </c>
    </row>
    <row r="112" spans="2:6" x14ac:dyDescent="0.3">
      <c r="B112">
        <v>0.107</v>
      </c>
      <c r="C112">
        <v>1.5753215254241399</v>
      </c>
      <c r="D112">
        <f t="shared" si="3"/>
        <v>1.5753215254241493</v>
      </c>
      <c r="E112">
        <f t="shared" si="4"/>
        <v>9.3258734068513149E-15</v>
      </c>
      <c r="F112">
        <f t="shared" si="5"/>
        <v>5.9952043329758453E-15</v>
      </c>
    </row>
    <row r="113" spans="2:6" x14ac:dyDescent="0.3">
      <c r="B113">
        <v>0.108</v>
      </c>
      <c r="C113">
        <v>1.57540706678242</v>
      </c>
      <c r="D113">
        <f t="shared" si="3"/>
        <v>1.5754070667824223</v>
      </c>
      <c r="E113">
        <f t="shared" si="4"/>
        <v>2.2204460492503131E-15</v>
      </c>
      <c r="F113">
        <f t="shared" si="5"/>
        <v>0</v>
      </c>
    </row>
    <row r="114" spans="2:6" x14ac:dyDescent="0.3">
      <c r="B114">
        <v>0.109</v>
      </c>
      <c r="C114">
        <v>1.57549342509402</v>
      </c>
      <c r="D114">
        <f t="shared" si="3"/>
        <v>1.5754934250940276</v>
      </c>
      <c r="E114">
        <f t="shared" si="4"/>
        <v>7.5495165674510645E-15</v>
      </c>
      <c r="F114">
        <f t="shared" si="5"/>
        <v>4.8849813083506888E-15</v>
      </c>
    </row>
    <row r="115" spans="2:6" x14ac:dyDescent="0.3">
      <c r="B115">
        <v>0.11</v>
      </c>
      <c r="C115">
        <v>1.57558060095828</v>
      </c>
      <c r="D115">
        <f t="shared" si="3"/>
        <v>1.57558060095829</v>
      </c>
      <c r="E115">
        <f t="shared" si="4"/>
        <v>9.9920072216264089E-15</v>
      </c>
      <c r="F115">
        <f t="shared" si="5"/>
        <v>6.4392935428259079E-15</v>
      </c>
    </row>
    <row r="116" spans="2:6" x14ac:dyDescent="0.3">
      <c r="B116">
        <v>0.111</v>
      </c>
      <c r="C116">
        <v>1.57566859498052</v>
      </c>
      <c r="D116">
        <f t="shared" si="3"/>
        <v>1.5756685949805214</v>
      </c>
      <c r="E116">
        <f t="shared" si="4"/>
        <v>0</v>
      </c>
      <c r="F116">
        <f t="shared" si="5"/>
        <v>0</v>
      </c>
    </row>
    <row r="117" spans="2:6" x14ac:dyDescent="0.3">
      <c r="B117">
        <v>0.112</v>
      </c>
      <c r="C117">
        <v>1.57575740777203</v>
      </c>
      <c r="D117">
        <f t="shared" si="3"/>
        <v>1.5757574077720329</v>
      </c>
      <c r="E117">
        <f t="shared" si="4"/>
        <v>2.886579864025407E-15</v>
      </c>
      <c r="F117">
        <f t="shared" si="5"/>
        <v>1.7763568394002505E-15</v>
      </c>
    </row>
    <row r="118" spans="2:6" x14ac:dyDescent="0.3">
      <c r="B118">
        <v>0.113</v>
      </c>
      <c r="C118">
        <v>1.5758470399501401</v>
      </c>
      <c r="D118">
        <f t="shared" si="3"/>
        <v>1.5758470399501481</v>
      </c>
      <c r="E118">
        <f t="shared" si="4"/>
        <v>7.9936057773011271E-15</v>
      </c>
      <c r="F118">
        <f t="shared" si="5"/>
        <v>5.1070259132757201E-15</v>
      </c>
    </row>
    <row r="119" spans="2:6" x14ac:dyDescent="0.3">
      <c r="B119">
        <v>0.114</v>
      </c>
      <c r="C119">
        <v>1.5759374921382101</v>
      </c>
      <c r="D119">
        <f t="shared" si="3"/>
        <v>1.5759374921382172</v>
      </c>
      <c r="E119">
        <f t="shared" si="4"/>
        <v>7.1054273576010019E-15</v>
      </c>
      <c r="F119">
        <f t="shared" si="5"/>
        <v>4.4408920985006262E-15</v>
      </c>
    </row>
    <row r="120" spans="2:6" x14ac:dyDescent="0.3">
      <c r="B120">
        <v>0.115</v>
      </c>
      <c r="C120">
        <v>1.5760287649656199</v>
      </c>
      <c r="D120">
        <f t="shared" si="3"/>
        <v>1.5760287649656295</v>
      </c>
      <c r="E120">
        <f t="shared" si="4"/>
        <v>9.5479180117763462E-15</v>
      </c>
      <c r="F120">
        <f t="shared" si="5"/>
        <v>5.9952043329758453E-15</v>
      </c>
    </row>
    <row r="121" spans="2:6" x14ac:dyDescent="0.3">
      <c r="B121">
        <v>0.11600000000000001</v>
      </c>
      <c r="C121">
        <v>1.57612085906782</v>
      </c>
      <c r="D121">
        <f t="shared" si="3"/>
        <v>1.5761208590678291</v>
      </c>
      <c r="E121">
        <f t="shared" si="4"/>
        <v>9.1038288019262836E-15</v>
      </c>
      <c r="F121">
        <f t="shared" si="5"/>
        <v>5.773159728050814E-15</v>
      </c>
    </row>
    <row r="122" spans="2:6" x14ac:dyDescent="0.3">
      <c r="B122">
        <v>0.11700000000000001</v>
      </c>
      <c r="C122">
        <v>1.5762137750863201</v>
      </c>
      <c r="D122">
        <f t="shared" si="3"/>
        <v>1.5762137750863261</v>
      </c>
      <c r="E122">
        <f t="shared" si="4"/>
        <v>5.9952043329758453E-15</v>
      </c>
      <c r="F122">
        <f t="shared" si="5"/>
        <v>3.7747582837255322E-15</v>
      </c>
    </row>
    <row r="123" spans="2:6" x14ac:dyDescent="0.3">
      <c r="B123">
        <v>0.11799999999999999</v>
      </c>
      <c r="C123">
        <v>1.5763075136687099</v>
      </c>
      <c r="D123">
        <f t="shared" si="3"/>
        <v>1.576307513668713</v>
      </c>
      <c r="E123">
        <f t="shared" si="4"/>
        <v>3.1086244689504383E-15</v>
      </c>
      <c r="F123">
        <f t="shared" si="5"/>
        <v>1.9984014443252818E-15</v>
      </c>
    </row>
    <row r="124" spans="2:6" x14ac:dyDescent="0.3">
      <c r="B124">
        <v>0.11899999999999999</v>
      </c>
      <c r="C124">
        <v>1.5764020754686701</v>
      </c>
      <c r="D124">
        <f t="shared" si="3"/>
        <v>1.5764020754686778</v>
      </c>
      <c r="E124">
        <f t="shared" si="4"/>
        <v>7.7715611723760958E-15</v>
      </c>
      <c r="F124">
        <f t="shared" si="5"/>
        <v>4.8849813083506888E-15</v>
      </c>
    </row>
    <row r="125" spans="2:6" x14ac:dyDescent="0.3">
      <c r="B125">
        <v>0.12</v>
      </c>
      <c r="C125">
        <v>1.5764974611460101</v>
      </c>
      <c r="D125">
        <f t="shared" si="3"/>
        <v>1.5764974611460181</v>
      </c>
      <c r="E125">
        <f t="shared" si="4"/>
        <v>7.9936057773011271E-15</v>
      </c>
      <c r="F125">
        <f t="shared" si="5"/>
        <v>5.1070259132757201E-15</v>
      </c>
    </row>
    <row r="126" spans="2:6" x14ac:dyDescent="0.3">
      <c r="B126">
        <v>0.121</v>
      </c>
      <c r="C126">
        <v>1.57659367136665</v>
      </c>
      <c r="D126">
        <f t="shared" si="3"/>
        <v>1.5765936713666564</v>
      </c>
      <c r="E126">
        <f t="shared" si="4"/>
        <v>6.4392935428259079E-15</v>
      </c>
      <c r="F126">
        <f t="shared" si="5"/>
        <v>3.9968028886505635E-15</v>
      </c>
    </row>
    <row r="127" spans="2:6" x14ac:dyDescent="0.3">
      <c r="B127">
        <v>0.122</v>
      </c>
      <c r="C127">
        <v>1.5766907068026501</v>
      </c>
      <c r="D127">
        <f t="shared" si="3"/>
        <v>1.5766907068026539</v>
      </c>
      <c r="E127">
        <f t="shared" si="4"/>
        <v>3.7747582837255322E-15</v>
      </c>
      <c r="F127">
        <f t="shared" si="5"/>
        <v>2.4424906541753444E-15</v>
      </c>
    </row>
    <row r="128" spans="2:6" x14ac:dyDescent="0.3">
      <c r="B128">
        <v>0.123</v>
      </c>
      <c r="C128">
        <v>1.57678856813222</v>
      </c>
      <c r="D128">
        <f t="shared" si="3"/>
        <v>1.576788568132226</v>
      </c>
      <c r="E128">
        <f t="shared" si="4"/>
        <v>5.9952043329758453E-15</v>
      </c>
      <c r="F128">
        <f t="shared" si="5"/>
        <v>3.7747582837255322E-15</v>
      </c>
    </row>
    <row r="129" spans="2:6" x14ac:dyDescent="0.3">
      <c r="B129">
        <v>0.124</v>
      </c>
      <c r="C129">
        <v>1.57688725603975</v>
      </c>
      <c r="D129">
        <f t="shared" si="3"/>
        <v>1.5768872560397564</v>
      </c>
      <c r="E129">
        <f t="shared" si="4"/>
        <v>6.4392935428259079E-15</v>
      </c>
      <c r="F129">
        <f t="shared" si="5"/>
        <v>3.9968028886505635E-15</v>
      </c>
    </row>
    <row r="130" spans="2:6" x14ac:dyDescent="0.3">
      <c r="B130">
        <v>0.125</v>
      </c>
      <c r="C130">
        <v>1.5769867712158101</v>
      </c>
      <c r="D130">
        <f t="shared" si="3"/>
        <v>1.5769867712158132</v>
      </c>
      <c r="E130">
        <f t="shared" si="4"/>
        <v>3.1086244689504383E-15</v>
      </c>
      <c r="F130">
        <f t="shared" si="5"/>
        <v>1.9984014443252818E-15</v>
      </c>
    </row>
    <row r="131" spans="2:6" x14ac:dyDescent="0.3">
      <c r="B131">
        <v>0.126</v>
      </c>
      <c r="C131">
        <v>1.5770871143571601</v>
      </c>
      <c r="D131">
        <f t="shared" si="3"/>
        <v>1.577087114357163</v>
      </c>
      <c r="E131">
        <f t="shared" si="4"/>
        <v>2.886579864025407E-15</v>
      </c>
      <c r="F131">
        <f t="shared" si="5"/>
        <v>1.7763568394002505E-15</v>
      </c>
    </row>
    <row r="132" spans="2:6" x14ac:dyDescent="0.3">
      <c r="B132">
        <v>0.127</v>
      </c>
      <c r="C132">
        <v>1.5771882861667801</v>
      </c>
      <c r="D132">
        <f t="shared" si="3"/>
        <v>1.577188286166787</v>
      </c>
      <c r="E132">
        <f t="shared" si="4"/>
        <v>6.8833827526759706E-15</v>
      </c>
      <c r="F132">
        <f t="shared" si="5"/>
        <v>4.4408920985006262E-15</v>
      </c>
    </row>
    <row r="133" spans="2:6" x14ac:dyDescent="0.3">
      <c r="B133">
        <v>0.128</v>
      </c>
      <c r="C133">
        <v>1.5772902873538901</v>
      </c>
      <c r="D133">
        <f t="shared" si="3"/>
        <v>1.5772902873538959</v>
      </c>
      <c r="E133">
        <f t="shared" si="4"/>
        <v>5.773159728050814E-15</v>
      </c>
      <c r="F133">
        <f t="shared" si="5"/>
        <v>3.5527136788005009E-15</v>
      </c>
    </row>
    <row r="134" spans="2:6" x14ac:dyDescent="0.3">
      <c r="B134">
        <v>0.129</v>
      </c>
      <c r="C134">
        <v>1.5773931186339401</v>
      </c>
      <c r="D134">
        <f t="shared" ref="D134:D197" si="6">completeElliptic1($B134*$B134)</f>
        <v>1.5773931186339469</v>
      </c>
      <c r="E134">
        <f t="shared" ref="E134:E197" si="7">$D134-$C134</f>
        <v>6.8833827526759706E-15</v>
      </c>
      <c r="F134">
        <f t="shared" ref="F134:F197" si="8">$D134/$C134-1</f>
        <v>4.4408920985006262E-15</v>
      </c>
    </row>
    <row r="135" spans="2:6" x14ac:dyDescent="0.3">
      <c r="B135">
        <v>0.13</v>
      </c>
      <c r="C135">
        <v>1.57749678072865</v>
      </c>
      <c r="D135">
        <f t="shared" si="6"/>
        <v>1.5774967807286577</v>
      </c>
      <c r="E135">
        <f t="shared" si="7"/>
        <v>7.7715611723760958E-15</v>
      </c>
      <c r="F135">
        <f t="shared" si="8"/>
        <v>4.8849813083506888E-15</v>
      </c>
    </row>
    <row r="136" spans="2:6" x14ac:dyDescent="0.3">
      <c r="B136">
        <v>0.13100000000000001</v>
      </c>
      <c r="C136">
        <v>1.5776012743660199</v>
      </c>
      <c r="D136">
        <f t="shared" si="6"/>
        <v>1.5776012743660239</v>
      </c>
      <c r="E136">
        <f t="shared" si="7"/>
        <v>3.9968028886505635E-15</v>
      </c>
      <c r="F136">
        <f t="shared" si="8"/>
        <v>2.4424906541753444E-15</v>
      </c>
    </row>
    <row r="137" spans="2:6" x14ac:dyDescent="0.3">
      <c r="B137">
        <v>0.13200000000000001</v>
      </c>
      <c r="C137">
        <v>1.5777066002803299</v>
      </c>
      <c r="D137">
        <f t="shared" si="6"/>
        <v>1.5777066002803342</v>
      </c>
      <c r="E137">
        <f t="shared" si="7"/>
        <v>4.2188474935755949E-15</v>
      </c>
      <c r="F137">
        <f t="shared" si="8"/>
        <v>2.6645352591003757E-15</v>
      </c>
    </row>
    <row r="138" spans="2:6" x14ac:dyDescent="0.3">
      <c r="B138">
        <v>0.13300000000000001</v>
      </c>
      <c r="C138">
        <v>1.57781275921218</v>
      </c>
      <c r="D138">
        <f t="shared" si="6"/>
        <v>1.5778127592121871</v>
      </c>
      <c r="E138">
        <f t="shared" si="7"/>
        <v>7.1054273576010019E-15</v>
      </c>
      <c r="F138">
        <f t="shared" si="8"/>
        <v>4.4408920985006262E-15</v>
      </c>
    </row>
    <row r="139" spans="2:6" x14ac:dyDescent="0.3">
      <c r="B139">
        <v>0.13400000000000001</v>
      </c>
      <c r="C139">
        <v>1.5779197519085</v>
      </c>
      <c r="D139">
        <f t="shared" si="6"/>
        <v>1.5779197519085078</v>
      </c>
      <c r="E139">
        <f t="shared" si="7"/>
        <v>7.7715611723760958E-15</v>
      </c>
      <c r="F139">
        <f t="shared" si="8"/>
        <v>4.8849813083506888E-15</v>
      </c>
    </row>
    <row r="140" spans="2:6" x14ac:dyDescent="0.3">
      <c r="B140">
        <v>0.13500000000000001</v>
      </c>
      <c r="C140">
        <v>1.57802757912256</v>
      </c>
      <c r="D140">
        <f t="shared" si="6"/>
        <v>1.5780275791225635</v>
      </c>
      <c r="E140">
        <f t="shared" si="7"/>
        <v>3.5527136788005009E-15</v>
      </c>
      <c r="F140">
        <f t="shared" si="8"/>
        <v>2.2204460492503131E-15</v>
      </c>
    </row>
    <row r="141" spans="2:6" x14ac:dyDescent="0.3">
      <c r="B141">
        <v>0.13600000000000001</v>
      </c>
      <c r="C141">
        <v>1.5781362416139799</v>
      </c>
      <c r="D141">
        <f t="shared" si="6"/>
        <v>1.5781362416139817</v>
      </c>
      <c r="E141">
        <f t="shared" si="7"/>
        <v>1.7763568394002505E-15</v>
      </c>
      <c r="F141">
        <f t="shared" si="8"/>
        <v>0</v>
      </c>
    </row>
    <row r="142" spans="2:6" x14ac:dyDescent="0.3">
      <c r="B142">
        <v>0.13700000000000001</v>
      </c>
      <c r="C142">
        <v>1.57824574014876</v>
      </c>
      <c r="D142">
        <f t="shared" si="6"/>
        <v>1.5782457401487657</v>
      </c>
      <c r="E142">
        <f t="shared" si="7"/>
        <v>5.773159728050814E-15</v>
      </c>
      <c r="F142">
        <f t="shared" si="8"/>
        <v>3.5527136788005009E-15</v>
      </c>
    </row>
    <row r="143" spans="2:6" x14ac:dyDescent="0.3">
      <c r="B143">
        <v>0.13800000000000001</v>
      </c>
      <c r="C143">
        <v>1.57835607549931</v>
      </c>
      <c r="D143">
        <f t="shared" si="6"/>
        <v>1.5783560754993129</v>
      </c>
      <c r="E143">
        <f t="shared" si="7"/>
        <v>2.886579864025407E-15</v>
      </c>
      <c r="F143">
        <f t="shared" si="8"/>
        <v>1.7763568394002505E-15</v>
      </c>
    </row>
    <row r="144" spans="2:6" x14ac:dyDescent="0.3">
      <c r="B144">
        <v>0.13900000000000001</v>
      </c>
      <c r="C144">
        <v>1.57846724844443</v>
      </c>
      <c r="D144">
        <f t="shared" si="6"/>
        <v>1.5784672484444313</v>
      </c>
      <c r="E144">
        <f t="shared" si="7"/>
        <v>0</v>
      </c>
      <c r="F144">
        <f t="shared" si="8"/>
        <v>0</v>
      </c>
    </row>
    <row r="145" spans="2:6" x14ac:dyDescent="0.3">
      <c r="B145">
        <v>0.14000000000000001</v>
      </c>
      <c r="C145">
        <v>1.57857925976935</v>
      </c>
      <c r="D145">
        <f t="shared" si="6"/>
        <v>1.5785792597693566</v>
      </c>
      <c r="E145">
        <f t="shared" si="7"/>
        <v>6.6613381477509392E-15</v>
      </c>
      <c r="F145">
        <f t="shared" si="8"/>
        <v>4.2188474935755949E-15</v>
      </c>
    </row>
    <row r="146" spans="2:6" x14ac:dyDescent="0.3">
      <c r="B146">
        <v>0.14099999999999999</v>
      </c>
      <c r="C146">
        <v>1.5786921102657701</v>
      </c>
      <c r="D146">
        <f t="shared" si="6"/>
        <v>1.5786921102657709</v>
      </c>
      <c r="E146">
        <f t="shared" si="7"/>
        <v>0</v>
      </c>
      <c r="F146">
        <f t="shared" si="8"/>
        <v>0</v>
      </c>
    </row>
    <row r="147" spans="2:6" x14ac:dyDescent="0.3">
      <c r="B147">
        <v>0.14199999999999999</v>
      </c>
      <c r="C147">
        <v>1.57880580073181</v>
      </c>
      <c r="D147">
        <f t="shared" si="6"/>
        <v>1.5788058007318191</v>
      </c>
      <c r="E147">
        <f t="shared" si="7"/>
        <v>9.1038288019262836E-15</v>
      </c>
      <c r="F147">
        <f t="shared" si="8"/>
        <v>5.773159728050814E-15</v>
      </c>
    </row>
    <row r="148" spans="2:6" x14ac:dyDescent="0.3">
      <c r="B148">
        <v>0.14299999999999999</v>
      </c>
      <c r="C148">
        <v>1.5789203319721199</v>
      </c>
      <c r="D148">
        <f t="shared" si="6"/>
        <v>1.5789203319721277</v>
      </c>
      <c r="E148">
        <f t="shared" si="7"/>
        <v>7.7715611723760958E-15</v>
      </c>
      <c r="F148">
        <f t="shared" si="8"/>
        <v>4.8849813083506888E-15</v>
      </c>
    </row>
    <row r="149" spans="2:6" x14ac:dyDescent="0.3">
      <c r="B149">
        <v>0.14399999999999999</v>
      </c>
      <c r="C149">
        <v>1.5790357047978201</v>
      </c>
      <c r="D149">
        <f t="shared" si="6"/>
        <v>1.5790357047978221</v>
      </c>
      <c r="E149">
        <f t="shared" si="7"/>
        <v>1.9984014443252818E-15</v>
      </c>
      <c r="F149">
        <f t="shared" si="8"/>
        <v>0</v>
      </c>
    </row>
    <row r="150" spans="2:6" x14ac:dyDescent="0.3">
      <c r="B150">
        <v>0.14499999999999999</v>
      </c>
      <c r="C150">
        <v>1.57915192002654</v>
      </c>
      <c r="D150">
        <f t="shared" si="6"/>
        <v>1.5791519200265456</v>
      </c>
      <c r="E150">
        <f t="shared" si="7"/>
        <v>5.5511151231257827E-15</v>
      </c>
      <c r="F150">
        <f t="shared" si="8"/>
        <v>3.5527136788005009E-15</v>
      </c>
    </row>
    <row r="151" spans="2:6" x14ac:dyDescent="0.3">
      <c r="B151">
        <v>0.14599999999999999</v>
      </c>
      <c r="C151">
        <v>1.5792689784824701</v>
      </c>
      <c r="D151">
        <f t="shared" si="6"/>
        <v>1.5792689784824776</v>
      </c>
      <c r="E151">
        <f t="shared" si="7"/>
        <v>7.5495165674510645E-15</v>
      </c>
      <c r="F151">
        <f t="shared" si="8"/>
        <v>4.8849813083506888E-15</v>
      </c>
    </row>
    <row r="152" spans="2:6" x14ac:dyDescent="0.3">
      <c r="B152">
        <v>0.14699999999999999</v>
      </c>
      <c r="C152">
        <v>1.5793868809963501</v>
      </c>
      <c r="D152">
        <f t="shared" si="6"/>
        <v>1.5793868809963512</v>
      </c>
      <c r="E152">
        <f t="shared" si="7"/>
        <v>0</v>
      </c>
      <c r="F152">
        <f t="shared" si="8"/>
        <v>0</v>
      </c>
    </row>
    <row r="153" spans="2:6" x14ac:dyDescent="0.3">
      <c r="B153">
        <v>0.14799999999999999</v>
      </c>
      <c r="C153">
        <v>1.57950562840547</v>
      </c>
      <c r="D153">
        <f t="shared" si="6"/>
        <v>1.5795056284054731</v>
      </c>
      <c r="E153">
        <f t="shared" si="7"/>
        <v>3.1086244689504383E-15</v>
      </c>
      <c r="F153">
        <f t="shared" si="8"/>
        <v>1.9984014443252818E-15</v>
      </c>
    </row>
    <row r="154" spans="2:6" x14ac:dyDescent="0.3">
      <c r="B154">
        <v>0.14899999999999999</v>
      </c>
      <c r="C154">
        <v>1.5796252215537401</v>
      </c>
      <c r="D154">
        <f t="shared" si="6"/>
        <v>1.5796252215537421</v>
      </c>
      <c r="E154">
        <f t="shared" si="7"/>
        <v>1.9984014443252818E-15</v>
      </c>
      <c r="F154">
        <f t="shared" si="8"/>
        <v>0</v>
      </c>
    </row>
    <row r="155" spans="2:6" x14ac:dyDescent="0.3">
      <c r="B155">
        <v>0.15</v>
      </c>
      <c r="C155">
        <v>1.5797456612916601</v>
      </c>
      <c r="D155">
        <f t="shared" si="6"/>
        <v>1.5797456612916672</v>
      </c>
      <c r="E155">
        <f t="shared" si="7"/>
        <v>7.1054273576010019E-15</v>
      </c>
      <c r="F155">
        <f t="shared" si="8"/>
        <v>4.4408920985006262E-15</v>
      </c>
    </row>
    <row r="156" spans="2:6" x14ac:dyDescent="0.3">
      <c r="B156">
        <v>0.151</v>
      </c>
      <c r="C156">
        <v>1.5798669484763801</v>
      </c>
      <c r="D156">
        <f t="shared" si="6"/>
        <v>1.5798669484763885</v>
      </c>
      <c r="E156">
        <f t="shared" si="7"/>
        <v>8.4376949871511897E-15</v>
      </c>
      <c r="F156">
        <f t="shared" si="8"/>
        <v>5.3290705182007514E-15</v>
      </c>
    </row>
    <row r="157" spans="2:6" x14ac:dyDescent="0.3">
      <c r="B157">
        <v>0.152</v>
      </c>
      <c r="C157">
        <v>1.5799890839716899</v>
      </c>
      <c r="D157">
        <f t="shared" si="6"/>
        <v>1.5799890839716955</v>
      </c>
      <c r="E157">
        <f t="shared" si="7"/>
        <v>5.5511151231257827E-15</v>
      </c>
      <c r="F157">
        <f t="shared" si="8"/>
        <v>3.5527136788005009E-15</v>
      </c>
    </row>
    <row r="158" spans="2:6" x14ac:dyDescent="0.3">
      <c r="B158">
        <v>0.153</v>
      </c>
      <c r="C158">
        <v>1.5801120686480401</v>
      </c>
      <c r="D158">
        <f t="shared" si="6"/>
        <v>1.5801120686480463</v>
      </c>
      <c r="E158">
        <f t="shared" si="7"/>
        <v>6.2172489379008766E-15</v>
      </c>
      <c r="F158">
        <f t="shared" si="8"/>
        <v>3.9968028886505635E-15</v>
      </c>
    </row>
    <row r="159" spans="2:6" x14ac:dyDescent="0.3">
      <c r="B159">
        <v>0.154</v>
      </c>
      <c r="C159">
        <v>1.5802359033825799</v>
      </c>
      <c r="D159">
        <f t="shared" si="6"/>
        <v>1.5802359033825888</v>
      </c>
      <c r="E159">
        <f t="shared" si="7"/>
        <v>8.8817841970012523E-15</v>
      </c>
      <c r="F159">
        <f t="shared" si="8"/>
        <v>5.5511151231257827E-15</v>
      </c>
    </row>
    <row r="160" spans="2:6" x14ac:dyDescent="0.3">
      <c r="B160">
        <v>0.155</v>
      </c>
      <c r="C160">
        <v>1.5803605890591701</v>
      </c>
      <c r="D160">
        <f t="shared" si="6"/>
        <v>1.5803605890591785</v>
      </c>
      <c r="E160">
        <f t="shared" si="7"/>
        <v>8.4376949871511897E-15</v>
      </c>
      <c r="F160">
        <f t="shared" si="8"/>
        <v>5.3290705182007514E-15</v>
      </c>
    </row>
    <row r="161" spans="2:6" x14ac:dyDescent="0.3">
      <c r="B161">
        <v>0.156</v>
      </c>
      <c r="C161">
        <v>1.5804861265684</v>
      </c>
      <c r="D161">
        <f t="shared" si="6"/>
        <v>1.5804861265684009</v>
      </c>
      <c r="E161">
        <f t="shared" si="7"/>
        <v>0</v>
      </c>
      <c r="F161">
        <f t="shared" si="8"/>
        <v>0</v>
      </c>
    </row>
    <row r="162" spans="2:6" x14ac:dyDescent="0.3">
      <c r="B162">
        <v>0.157</v>
      </c>
      <c r="C162">
        <v>1.58061251680759</v>
      </c>
      <c r="D162">
        <f t="shared" si="6"/>
        <v>1.58061251680759</v>
      </c>
      <c r="E162">
        <f t="shared" si="7"/>
        <v>0</v>
      </c>
      <c r="F162">
        <f t="shared" si="8"/>
        <v>0</v>
      </c>
    </row>
    <row r="163" spans="2:6" x14ac:dyDescent="0.3">
      <c r="B163">
        <v>0.158</v>
      </c>
      <c r="C163">
        <v>1.58073976068084</v>
      </c>
      <c r="D163">
        <f t="shared" si="6"/>
        <v>1.5807397606808489</v>
      </c>
      <c r="E163">
        <f t="shared" si="7"/>
        <v>8.8817841970012523E-15</v>
      </c>
      <c r="F163">
        <f t="shared" si="8"/>
        <v>5.5511151231257827E-15</v>
      </c>
    </row>
    <row r="164" spans="2:6" x14ac:dyDescent="0.3">
      <c r="B164">
        <v>0.159</v>
      </c>
      <c r="C164">
        <v>1.5808678590990699</v>
      </c>
      <c r="D164">
        <f t="shared" si="6"/>
        <v>1.5808678590990715</v>
      </c>
      <c r="E164">
        <f t="shared" si="7"/>
        <v>0</v>
      </c>
      <c r="F164">
        <f t="shared" si="8"/>
        <v>0</v>
      </c>
    </row>
    <row r="165" spans="2:6" x14ac:dyDescent="0.3">
      <c r="B165">
        <v>0.16</v>
      </c>
      <c r="C165">
        <v>1.5809968129799601</v>
      </c>
      <c r="D165">
        <f t="shared" si="6"/>
        <v>1.5809968129799623</v>
      </c>
      <c r="E165">
        <f t="shared" si="7"/>
        <v>2.2204460492503131E-15</v>
      </c>
      <c r="F165">
        <f t="shared" si="8"/>
        <v>0</v>
      </c>
    </row>
    <row r="166" spans="2:6" x14ac:dyDescent="0.3">
      <c r="B166">
        <v>0.161</v>
      </c>
      <c r="C166">
        <v>1.5811266232480501</v>
      </c>
      <c r="D166">
        <f t="shared" si="6"/>
        <v>1.5811266232480574</v>
      </c>
      <c r="E166">
        <f t="shared" si="7"/>
        <v>7.3274719625260332E-15</v>
      </c>
      <c r="F166">
        <f t="shared" si="8"/>
        <v>4.6629367034256575E-15</v>
      </c>
    </row>
    <row r="167" spans="2:6" x14ac:dyDescent="0.3">
      <c r="B167">
        <v>0.16200000000000001</v>
      </c>
      <c r="C167">
        <v>1.58125729083474</v>
      </c>
      <c r="D167">
        <f t="shared" si="6"/>
        <v>1.5812572908347462</v>
      </c>
      <c r="E167">
        <f t="shared" si="7"/>
        <v>6.2172489379008766E-15</v>
      </c>
      <c r="F167">
        <f t="shared" si="8"/>
        <v>3.9968028886505635E-15</v>
      </c>
    </row>
    <row r="168" spans="2:6" x14ac:dyDescent="0.3">
      <c r="B168">
        <v>0.16300000000000001</v>
      </c>
      <c r="C168">
        <v>1.5813888166782899</v>
      </c>
      <c r="D168">
        <f t="shared" si="6"/>
        <v>1.5813888166782923</v>
      </c>
      <c r="E168">
        <f t="shared" si="7"/>
        <v>2.4424906541753444E-15</v>
      </c>
      <c r="F168">
        <f t="shared" si="8"/>
        <v>0</v>
      </c>
    </row>
    <row r="169" spans="2:6" x14ac:dyDescent="0.3">
      <c r="B169">
        <v>0.16400000000000001</v>
      </c>
      <c r="C169">
        <v>1.58152120172385</v>
      </c>
      <c r="D169">
        <f t="shared" si="6"/>
        <v>1.5815212017238551</v>
      </c>
      <c r="E169">
        <f t="shared" si="7"/>
        <v>5.1070259132757201E-15</v>
      </c>
      <c r="F169">
        <f t="shared" si="8"/>
        <v>3.3306690738754696E-15</v>
      </c>
    </row>
    <row r="170" spans="2:6" x14ac:dyDescent="0.3">
      <c r="B170">
        <v>0.16500000000000001</v>
      </c>
      <c r="C170">
        <v>1.5816544469235101</v>
      </c>
      <c r="D170">
        <f t="shared" si="6"/>
        <v>1.5816544469235112</v>
      </c>
      <c r="E170">
        <f t="shared" si="7"/>
        <v>0</v>
      </c>
      <c r="F170">
        <f t="shared" si="8"/>
        <v>0</v>
      </c>
    </row>
    <row r="171" spans="2:6" x14ac:dyDescent="0.3">
      <c r="B171">
        <v>0.16600000000000001</v>
      </c>
      <c r="C171">
        <v>1.5817885532362701</v>
      </c>
      <c r="D171">
        <f t="shared" si="6"/>
        <v>1.5817885532362768</v>
      </c>
      <c r="E171">
        <f t="shared" si="7"/>
        <v>6.6613381477509392E-15</v>
      </c>
      <c r="F171">
        <f t="shared" si="8"/>
        <v>4.2188474935755949E-15</v>
      </c>
    </row>
    <row r="172" spans="2:6" x14ac:dyDescent="0.3">
      <c r="B172">
        <v>0.16700000000000001</v>
      </c>
      <c r="C172">
        <v>1.58192352162812</v>
      </c>
      <c r="D172">
        <f t="shared" si="6"/>
        <v>1.5819235216281295</v>
      </c>
      <c r="E172">
        <f t="shared" si="7"/>
        <v>9.5479180117763462E-15</v>
      </c>
      <c r="F172">
        <f t="shared" si="8"/>
        <v>5.9952043329758453E-15</v>
      </c>
    </row>
    <row r="173" spans="2:6" x14ac:dyDescent="0.3">
      <c r="B173">
        <v>0.16800000000000001</v>
      </c>
      <c r="C173">
        <v>1.5820593530720299</v>
      </c>
      <c r="D173">
        <f t="shared" si="6"/>
        <v>1.5820593530720304</v>
      </c>
      <c r="E173">
        <f t="shared" si="7"/>
        <v>0</v>
      </c>
      <c r="F173">
        <f t="shared" si="8"/>
        <v>0</v>
      </c>
    </row>
    <row r="174" spans="2:6" x14ac:dyDescent="0.3">
      <c r="B174">
        <v>0.16900000000000001</v>
      </c>
      <c r="C174">
        <v>1.58219604854794</v>
      </c>
      <c r="D174">
        <f t="shared" si="6"/>
        <v>1.5821960485479469</v>
      </c>
      <c r="E174">
        <f t="shared" si="7"/>
        <v>6.8833827526759706E-15</v>
      </c>
      <c r="F174">
        <f t="shared" si="8"/>
        <v>4.4408920985006262E-15</v>
      </c>
    </row>
    <row r="175" spans="2:6" x14ac:dyDescent="0.3">
      <c r="B175">
        <v>0.17</v>
      </c>
      <c r="C175">
        <v>1.5823336090428699</v>
      </c>
      <c r="D175">
        <f t="shared" si="6"/>
        <v>1.5823336090428746</v>
      </c>
      <c r="E175">
        <f t="shared" si="7"/>
        <v>4.6629367034256575E-15</v>
      </c>
      <c r="F175">
        <f t="shared" si="8"/>
        <v>2.886579864025407E-15</v>
      </c>
    </row>
    <row r="176" spans="2:6" x14ac:dyDescent="0.3">
      <c r="B176">
        <v>0.17100000000000001</v>
      </c>
      <c r="C176">
        <v>1.5824720355508599</v>
      </c>
      <c r="D176">
        <f t="shared" si="6"/>
        <v>1.582472035550861</v>
      </c>
      <c r="E176">
        <f t="shared" si="7"/>
        <v>0</v>
      </c>
      <c r="F176">
        <f t="shared" si="8"/>
        <v>0</v>
      </c>
    </row>
    <row r="177" spans="2:6" x14ac:dyDescent="0.3">
      <c r="B177">
        <v>0.17199999999999999</v>
      </c>
      <c r="C177">
        <v>1.5826113290730199</v>
      </c>
      <c r="D177">
        <f t="shared" si="6"/>
        <v>1.5826113290730282</v>
      </c>
      <c r="E177">
        <f t="shared" si="7"/>
        <v>8.2156503822261584E-15</v>
      </c>
      <c r="F177">
        <f t="shared" si="8"/>
        <v>5.1070259132757201E-15</v>
      </c>
    </row>
    <row r="178" spans="2:6" x14ac:dyDescent="0.3">
      <c r="B178">
        <v>0.17299999999999999</v>
      </c>
      <c r="C178">
        <v>1.5827514906175899</v>
      </c>
      <c r="D178">
        <f t="shared" si="6"/>
        <v>1.5827514906175955</v>
      </c>
      <c r="E178">
        <f t="shared" si="7"/>
        <v>5.5511151231257827E-15</v>
      </c>
      <c r="F178">
        <f t="shared" si="8"/>
        <v>3.5527136788005009E-15</v>
      </c>
    </row>
    <row r="179" spans="2:6" x14ac:dyDescent="0.3">
      <c r="B179">
        <v>0.17399999999999999</v>
      </c>
      <c r="C179">
        <v>1.5828925211999001</v>
      </c>
      <c r="D179">
        <f t="shared" si="6"/>
        <v>1.5828925211999036</v>
      </c>
      <c r="E179">
        <f t="shared" si="7"/>
        <v>3.5527136788005009E-15</v>
      </c>
      <c r="F179">
        <f t="shared" si="8"/>
        <v>2.2204460492503131E-15</v>
      </c>
    </row>
    <row r="180" spans="2:6" x14ac:dyDescent="0.3">
      <c r="B180">
        <v>0.17499999999999999</v>
      </c>
      <c r="C180">
        <v>1.5830344218424299</v>
      </c>
      <c r="D180">
        <f t="shared" si="6"/>
        <v>1.5830344218424379</v>
      </c>
      <c r="E180">
        <f t="shared" si="7"/>
        <v>7.9936057773011271E-15</v>
      </c>
      <c r="F180">
        <f t="shared" si="8"/>
        <v>5.1070259132757201E-15</v>
      </c>
    </row>
    <row r="181" spans="2:6" x14ac:dyDescent="0.3">
      <c r="B181">
        <v>0.17599999999999999</v>
      </c>
      <c r="C181">
        <v>1.58317719357485</v>
      </c>
      <c r="D181">
        <f t="shared" si="6"/>
        <v>1.5831771935748518</v>
      </c>
      <c r="E181">
        <f t="shared" si="7"/>
        <v>1.7763568394002505E-15</v>
      </c>
      <c r="F181">
        <f t="shared" si="8"/>
        <v>0</v>
      </c>
    </row>
    <row r="182" spans="2:6" x14ac:dyDescent="0.3">
      <c r="B182">
        <v>0.17699999999999999</v>
      </c>
      <c r="C182">
        <v>1.58332083743399</v>
      </c>
      <c r="D182">
        <f t="shared" si="6"/>
        <v>1.5833208374339915</v>
      </c>
      <c r="E182">
        <f t="shared" si="7"/>
        <v>0</v>
      </c>
      <c r="F182">
        <f t="shared" si="8"/>
        <v>0</v>
      </c>
    </row>
    <row r="183" spans="2:6" x14ac:dyDescent="0.3">
      <c r="B183">
        <v>0.17799999999999999</v>
      </c>
      <c r="C183">
        <v>1.5834653544639199</v>
      </c>
      <c r="D183">
        <f t="shared" si="6"/>
        <v>1.5834653544639199</v>
      </c>
      <c r="E183">
        <f t="shared" si="7"/>
        <v>0</v>
      </c>
      <c r="F183">
        <f t="shared" si="8"/>
        <v>0</v>
      </c>
    </row>
    <row r="184" spans="2:6" x14ac:dyDescent="0.3">
      <c r="B184">
        <v>0.17899999999999999</v>
      </c>
      <c r="C184">
        <v>1.5836107457159401</v>
      </c>
      <c r="D184">
        <f t="shared" si="6"/>
        <v>1.5836107457159403</v>
      </c>
      <c r="E184">
        <f t="shared" si="7"/>
        <v>0</v>
      </c>
      <c r="F184">
        <f t="shared" si="8"/>
        <v>0</v>
      </c>
    </row>
    <row r="185" spans="2:6" x14ac:dyDescent="0.3">
      <c r="B185">
        <v>0.18</v>
      </c>
      <c r="C185">
        <v>1.58375701224862</v>
      </c>
      <c r="D185">
        <f t="shared" si="6"/>
        <v>1.5837570122486218</v>
      </c>
      <c r="E185">
        <f t="shared" si="7"/>
        <v>1.7763568394002505E-15</v>
      </c>
      <c r="F185">
        <f t="shared" si="8"/>
        <v>0</v>
      </c>
    </row>
    <row r="186" spans="2:6" x14ac:dyDescent="0.3">
      <c r="B186">
        <v>0.18099999999999999</v>
      </c>
      <c r="C186">
        <v>1.5839041551278199</v>
      </c>
      <c r="D186">
        <f t="shared" si="6"/>
        <v>1.5839041551278239</v>
      </c>
      <c r="E186">
        <f t="shared" si="7"/>
        <v>3.9968028886505635E-15</v>
      </c>
      <c r="F186">
        <f t="shared" si="8"/>
        <v>2.4424906541753444E-15</v>
      </c>
    </row>
    <row r="187" spans="2:6" x14ac:dyDescent="0.3">
      <c r="B187">
        <v>0.182</v>
      </c>
      <c r="C187">
        <v>1.5840521754267201</v>
      </c>
      <c r="D187">
        <f t="shared" si="6"/>
        <v>1.5840521754267207</v>
      </c>
      <c r="E187">
        <f t="shared" si="7"/>
        <v>0</v>
      </c>
      <c r="F187">
        <f t="shared" si="8"/>
        <v>0</v>
      </c>
    </row>
    <row r="188" spans="2:6" x14ac:dyDescent="0.3">
      <c r="B188">
        <v>0.183</v>
      </c>
      <c r="C188">
        <v>1.5842010742258199</v>
      </c>
      <c r="D188">
        <f t="shared" si="6"/>
        <v>1.5842010742258281</v>
      </c>
      <c r="E188">
        <f t="shared" si="7"/>
        <v>8.2156503822261584E-15</v>
      </c>
      <c r="F188">
        <f t="shared" si="8"/>
        <v>5.1070259132757201E-15</v>
      </c>
    </row>
    <row r="189" spans="2:6" x14ac:dyDescent="0.3">
      <c r="B189">
        <v>0.184</v>
      </c>
      <c r="C189">
        <v>1.5843508526130201</v>
      </c>
      <c r="D189">
        <f t="shared" si="6"/>
        <v>1.5843508526130263</v>
      </c>
      <c r="E189">
        <f t="shared" si="7"/>
        <v>6.2172489379008766E-15</v>
      </c>
      <c r="F189">
        <f t="shared" si="8"/>
        <v>3.9968028886505635E-15</v>
      </c>
    </row>
    <row r="190" spans="2:6" x14ac:dyDescent="0.3">
      <c r="B190">
        <v>0.185</v>
      </c>
      <c r="C190">
        <v>1.5845015116835801</v>
      </c>
      <c r="D190">
        <f t="shared" si="6"/>
        <v>1.5845015116835877</v>
      </c>
      <c r="E190">
        <f t="shared" si="7"/>
        <v>7.5495165674510645E-15</v>
      </c>
      <c r="F190">
        <f t="shared" si="8"/>
        <v>4.6629367034256575E-15</v>
      </c>
    </row>
    <row r="191" spans="2:6" x14ac:dyDescent="0.3">
      <c r="B191">
        <v>0.186</v>
      </c>
      <c r="C191">
        <v>1.5846530525402001</v>
      </c>
      <c r="D191">
        <f t="shared" si="6"/>
        <v>1.5846530525402014</v>
      </c>
      <c r="E191">
        <f t="shared" si="7"/>
        <v>0</v>
      </c>
      <c r="F191">
        <f t="shared" si="8"/>
        <v>0</v>
      </c>
    </row>
    <row r="192" spans="2:6" x14ac:dyDescent="0.3">
      <c r="B192">
        <v>0.187</v>
      </c>
      <c r="C192">
        <v>1.5848054762929999</v>
      </c>
      <c r="D192">
        <f t="shared" si="6"/>
        <v>1.5848054762930008</v>
      </c>
      <c r="E192">
        <f t="shared" si="7"/>
        <v>0</v>
      </c>
      <c r="F192">
        <f t="shared" si="8"/>
        <v>0</v>
      </c>
    </row>
    <row r="193" spans="2:6" x14ac:dyDescent="0.3">
      <c r="B193">
        <v>0.188</v>
      </c>
      <c r="C193">
        <v>1.58495878405958</v>
      </c>
      <c r="D193">
        <f t="shared" si="6"/>
        <v>1.5849587840595876</v>
      </c>
      <c r="E193">
        <f t="shared" si="7"/>
        <v>7.5495165674510645E-15</v>
      </c>
      <c r="F193">
        <f t="shared" si="8"/>
        <v>4.6629367034256575E-15</v>
      </c>
    </row>
    <row r="194" spans="2:6" x14ac:dyDescent="0.3">
      <c r="B194">
        <v>0.189</v>
      </c>
      <c r="C194">
        <v>1.58511297696505</v>
      </c>
      <c r="D194">
        <f t="shared" si="6"/>
        <v>1.5851129769650596</v>
      </c>
      <c r="E194">
        <f t="shared" si="7"/>
        <v>9.5479180117763462E-15</v>
      </c>
      <c r="F194">
        <f t="shared" si="8"/>
        <v>5.9952043329758453E-15</v>
      </c>
    </row>
    <row r="195" spans="2:6" x14ac:dyDescent="0.3">
      <c r="B195">
        <v>0.19</v>
      </c>
      <c r="C195">
        <v>1.58526805614203</v>
      </c>
      <c r="D195">
        <f t="shared" si="6"/>
        <v>1.5852680561420374</v>
      </c>
      <c r="E195">
        <f t="shared" si="7"/>
        <v>7.3274719625260332E-15</v>
      </c>
      <c r="F195">
        <f t="shared" si="8"/>
        <v>4.6629367034256575E-15</v>
      </c>
    </row>
    <row r="196" spans="2:6" x14ac:dyDescent="0.3">
      <c r="B196">
        <v>0.191</v>
      </c>
      <c r="C196">
        <v>1.5854240227306899</v>
      </c>
      <c r="D196">
        <f t="shared" si="6"/>
        <v>1.5854240227306913</v>
      </c>
      <c r="E196">
        <f t="shared" si="7"/>
        <v>0</v>
      </c>
      <c r="F196">
        <f t="shared" si="8"/>
        <v>0</v>
      </c>
    </row>
    <row r="197" spans="2:6" x14ac:dyDescent="0.3">
      <c r="B197">
        <v>0.192</v>
      </c>
      <c r="C197">
        <v>1.5855808778787599</v>
      </c>
      <c r="D197">
        <f t="shared" si="6"/>
        <v>1.5855808778787668</v>
      </c>
      <c r="E197">
        <f t="shared" si="7"/>
        <v>6.8833827526759706E-15</v>
      </c>
      <c r="F197">
        <f t="shared" si="8"/>
        <v>4.4408920985006262E-15</v>
      </c>
    </row>
    <row r="198" spans="2:6" x14ac:dyDescent="0.3">
      <c r="B198">
        <v>0.193</v>
      </c>
      <c r="C198">
        <v>1.5857386227416099</v>
      </c>
      <c r="D198">
        <f t="shared" ref="D198:D261" si="9">completeElliptic1($B198*$B198)</f>
        <v>1.5857386227416146</v>
      </c>
      <c r="E198">
        <f t="shared" ref="E198:E261" si="10">$D198-$C198</f>
        <v>4.6629367034256575E-15</v>
      </c>
      <c r="F198">
        <f t="shared" ref="F198:F261" si="11">$D198/$C198-1</f>
        <v>2.886579864025407E-15</v>
      </c>
    </row>
    <row r="199" spans="2:6" x14ac:dyDescent="0.3">
      <c r="B199">
        <v>0.19400000000000001</v>
      </c>
      <c r="C199">
        <v>1.58589725848221</v>
      </c>
      <c r="D199">
        <f t="shared" si="9"/>
        <v>1.5858972584822155</v>
      </c>
      <c r="E199">
        <f t="shared" si="10"/>
        <v>5.5511151231257827E-15</v>
      </c>
      <c r="F199">
        <f t="shared" si="11"/>
        <v>3.5527136788005009E-15</v>
      </c>
    </row>
    <row r="200" spans="2:6" x14ac:dyDescent="0.3">
      <c r="B200">
        <v>0.19500000000000001</v>
      </c>
      <c r="C200">
        <v>1.5860567862712101</v>
      </c>
      <c r="D200">
        <f t="shared" si="9"/>
        <v>1.5860567862712101</v>
      </c>
      <c r="E200">
        <f t="shared" si="10"/>
        <v>0</v>
      </c>
      <c r="F200">
        <f t="shared" si="11"/>
        <v>0</v>
      </c>
    </row>
    <row r="201" spans="2:6" x14ac:dyDescent="0.3">
      <c r="B201">
        <v>0.19600000000000001</v>
      </c>
      <c r="C201">
        <v>1.5862172072869201</v>
      </c>
      <c r="D201">
        <f t="shared" si="9"/>
        <v>1.5862172072869256</v>
      </c>
      <c r="E201">
        <f t="shared" si="10"/>
        <v>5.5511151231257827E-15</v>
      </c>
      <c r="F201">
        <f t="shared" si="11"/>
        <v>3.5527136788005009E-15</v>
      </c>
    </row>
    <row r="202" spans="2:6" x14ac:dyDescent="0.3">
      <c r="B202">
        <v>0.19700000000000001</v>
      </c>
      <c r="C202">
        <v>1.5863785227153999</v>
      </c>
      <c r="D202">
        <f t="shared" si="9"/>
        <v>1.5863785227154039</v>
      </c>
      <c r="E202">
        <f t="shared" si="10"/>
        <v>3.9968028886505635E-15</v>
      </c>
      <c r="F202">
        <f t="shared" si="11"/>
        <v>2.4424906541753444E-15</v>
      </c>
    </row>
    <row r="203" spans="2:6" x14ac:dyDescent="0.3">
      <c r="B203">
        <v>0.19800000000000001</v>
      </c>
      <c r="C203">
        <v>1.58654073375043</v>
      </c>
      <c r="D203">
        <f t="shared" si="9"/>
        <v>1.5865407337504314</v>
      </c>
      <c r="E203">
        <f t="shared" si="10"/>
        <v>0</v>
      </c>
      <c r="F203">
        <f t="shared" si="11"/>
        <v>0</v>
      </c>
    </row>
    <row r="204" spans="2:6" x14ac:dyDescent="0.3">
      <c r="B204">
        <v>0.19900000000000001</v>
      </c>
      <c r="C204">
        <v>1.5867038415935599</v>
      </c>
      <c r="D204">
        <f t="shared" si="9"/>
        <v>1.5867038415935657</v>
      </c>
      <c r="E204">
        <f t="shared" si="10"/>
        <v>5.773159728050814E-15</v>
      </c>
      <c r="F204">
        <f t="shared" si="11"/>
        <v>3.5527136788005009E-15</v>
      </c>
    </row>
    <row r="205" spans="2:6" x14ac:dyDescent="0.3">
      <c r="B205">
        <v>0.2</v>
      </c>
      <c r="C205">
        <v>1.58686784745416</v>
      </c>
      <c r="D205">
        <f t="shared" si="9"/>
        <v>1.5868678474541662</v>
      </c>
      <c r="E205">
        <f t="shared" si="10"/>
        <v>6.2172489379008766E-15</v>
      </c>
      <c r="F205">
        <f t="shared" si="11"/>
        <v>3.9968028886505635E-15</v>
      </c>
    </row>
    <row r="206" spans="2:6" x14ac:dyDescent="0.3">
      <c r="B206">
        <v>0.20100000000000001</v>
      </c>
      <c r="C206">
        <v>1.5870327525494199</v>
      </c>
      <c r="D206">
        <f t="shared" si="9"/>
        <v>1.5870327525494214</v>
      </c>
      <c r="E206">
        <f t="shared" si="10"/>
        <v>0</v>
      </c>
      <c r="F206">
        <f t="shared" si="11"/>
        <v>0</v>
      </c>
    </row>
    <row r="207" spans="2:6" x14ac:dyDescent="0.3">
      <c r="B207">
        <v>0.20200000000000001</v>
      </c>
      <c r="C207">
        <v>1.5871985581043799</v>
      </c>
      <c r="D207">
        <f t="shared" si="9"/>
        <v>1.5871985581043804</v>
      </c>
      <c r="E207">
        <f t="shared" si="10"/>
        <v>0</v>
      </c>
      <c r="F207">
        <f t="shared" si="11"/>
        <v>0</v>
      </c>
    </row>
    <row r="208" spans="2:6" x14ac:dyDescent="0.3">
      <c r="B208">
        <v>0.20300000000000001</v>
      </c>
      <c r="C208">
        <v>1.5873652653519801</v>
      </c>
      <c r="D208">
        <f t="shared" si="9"/>
        <v>1.5873652653519799</v>
      </c>
      <c r="E208">
        <f t="shared" si="10"/>
        <v>0</v>
      </c>
      <c r="F208">
        <f t="shared" si="11"/>
        <v>0</v>
      </c>
    </row>
    <row r="209" spans="2:6" x14ac:dyDescent="0.3">
      <c r="B209">
        <v>0.20399999999999999</v>
      </c>
      <c r="C209">
        <v>1.58753287553307</v>
      </c>
      <c r="D209">
        <f t="shared" si="9"/>
        <v>1.5875328755330766</v>
      </c>
      <c r="E209">
        <f t="shared" si="10"/>
        <v>6.6613381477509392E-15</v>
      </c>
      <c r="F209">
        <f t="shared" si="11"/>
        <v>4.2188474935755949E-15</v>
      </c>
    </row>
    <row r="210" spans="2:6" x14ac:dyDescent="0.3">
      <c r="B210">
        <v>0.20499999999999999</v>
      </c>
      <c r="C210">
        <v>1.58770138989647</v>
      </c>
      <c r="D210">
        <f t="shared" si="9"/>
        <v>1.5877013898964754</v>
      </c>
      <c r="E210">
        <f t="shared" si="10"/>
        <v>5.3290705182007514E-15</v>
      </c>
      <c r="F210">
        <f t="shared" si="11"/>
        <v>3.3306690738754696E-15</v>
      </c>
    </row>
    <row r="211" spans="2:6" x14ac:dyDescent="0.3">
      <c r="B211">
        <v>0.20599999999999999</v>
      </c>
      <c r="C211">
        <v>1.58787080969895</v>
      </c>
      <c r="D211">
        <f t="shared" si="9"/>
        <v>1.5878708096989598</v>
      </c>
      <c r="E211">
        <f t="shared" si="10"/>
        <v>9.7699626167013776E-15</v>
      </c>
      <c r="F211">
        <f t="shared" si="11"/>
        <v>6.2172489379008766E-15</v>
      </c>
    </row>
    <row r="212" spans="2:6" x14ac:dyDescent="0.3">
      <c r="B212">
        <v>0.20699999999999999</v>
      </c>
      <c r="C212">
        <v>1.5880411362053199</v>
      </c>
      <c r="D212">
        <f t="shared" si="9"/>
        <v>1.5880411362053235</v>
      </c>
      <c r="E212">
        <f t="shared" si="10"/>
        <v>3.5527136788005009E-15</v>
      </c>
      <c r="F212">
        <f t="shared" si="11"/>
        <v>2.2204460492503131E-15</v>
      </c>
    </row>
    <row r="213" spans="2:6" x14ac:dyDescent="0.3">
      <c r="B213">
        <v>0.20799999999999999</v>
      </c>
      <c r="C213">
        <v>1.5882123706883899</v>
      </c>
      <c r="D213">
        <f t="shared" si="9"/>
        <v>1.5882123706883997</v>
      </c>
      <c r="E213">
        <f t="shared" si="10"/>
        <v>9.7699626167013776E-15</v>
      </c>
      <c r="F213">
        <f t="shared" si="11"/>
        <v>6.2172489379008766E-15</v>
      </c>
    </row>
    <row r="214" spans="2:6" x14ac:dyDescent="0.3">
      <c r="B214">
        <v>0.20899999999999999</v>
      </c>
      <c r="C214">
        <v>1.58838451442909</v>
      </c>
      <c r="D214">
        <f t="shared" si="9"/>
        <v>1.5883845144290936</v>
      </c>
      <c r="E214">
        <f t="shared" si="10"/>
        <v>3.5527136788005009E-15</v>
      </c>
      <c r="F214">
        <f t="shared" si="11"/>
        <v>2.2204460492503131E-15</v>
      </c>
    </row>
    <row r="215" spans="2:6" x14ac:dyDescent="0.3">
      <c r="B215">
        <v>0.21</v>
      </c>
      <c r="C215">
        <v>1.58855756871641</v>
      </c>
      <c r="D215">
        <f t="shared" si="9"/>
        <v>1.5885575687164122</v>
      </c>
      <c r="E215">
        <f t="shared" si="10"/>
        <v>2.2204460492503131E-15</v>
      </c>
      <c r="F215">
        <f t="shared" si="11"/>
        <v>0</v>
      </c>
    </row>
    <row r="216" spans="2:6" x14ac:dyDescent="0.3">
      <c r="B216">
        <v>0.21099999999999999</v>
      </c>
      <c r="C216">
        <v>1.58873153484749</v>
      </c>
      <c r="D216">
        <f t="shared" si="9"/>
        <v>1.5887315348474962</v>
      </c>
      <c r="E216">
        <f t="shared" si="10"/>
        <v>6.2172489379008766E-15</v>
      </c>
      <c r="F216">
        <f t="shared" si="11"/>
        <v>3.9968028886505635E-15</v>
      </c>
    </row>
    <row r="217" spans="2:6" x14ac:dyDescent="0.3">
      <c r="B217">
        <v>0.21199999999999999</v>
      </c>
      <c r="C217">
        <v>1.5889064141276501</v>
      </c>
      <c r="D217">
        <f t="shared" si="9"/>
        <v>1.5889064141276528</v>
      </c>
      <c r="E217">
        <f t="shared" si="10"/>
        <v>2.6645352591003757E-15</v>
      </c>
      <c r="F217">
        <f t="shared" si="11"/>
        <v>1.7763568394002505E-15</v>
      </c>
    </row>
    <row r="218" spans="2:6" x14ac:dyDescent="0.3">
      <c r="B218">
        <v>0.21299999999999999</v>
      </c>
      <c r="C218">
        <v>1.5890822078703799</v>
      </c>
      <c r="D218">
        <f t="shared" si="9"/>
        <v>1.5890822078703855</v>
      </c>
      <c r="E218">
        <f t="shared" si="10"/>
        <v>5.5511151231257827E-15</v>
      </c>
      <c r="F218">
        <f t="shared" si="11"/>
        <v>3.5527136788005009E-15</v>
      </c>
    </row>
    <row r="219" spans="2:6" x14ac:dyDescent="0.3">
      <c r="B219">
        <v>0.214</v>
      </c>
      <c r="C219">
        <v>1.5892589173974201</v>
      </c>
      <c r="D219">
        <f t="shared" si="9"/>
        <v>1.5892589173974285</v>
      </c>
      <c r="E219">
        <f t="shared" si="10"/>
        <v>8.4376949871511897E-15</v>
      </c>
      <c r="F219">
        <f t="shared" si="11"/>
        <v>5.3290705182007514E-15</v>
      </c>
    </row>
    <row r="220" spans="2:6" x14ac:dyDescent="0.3">
      <c r="B220">
        <v>0.215</v>
      </c>
      <c r="C220">
        <v>1.5894365440387701</v>
      </c>
      <c r="D220">
        <f t="shared" si="9"/>
        <v>1.5894365440387777</v>
      </c>
      <c r="E220">
        <f t="shared" si="10"/>
        <v>7.5495165674510645E-15</v>
      </c>
      <c r="F220">
        <f t="shared" si="11"/>
        <v>4.6629367034256575E-15</v>
      </c>
    </row>
    <row r="221" spans="2:6" x14ac:dyDescent="0.3">
      <c r="B221">
        <v>0.216</v>
      </c>
      <c r="C221">
        <v>1.5896150891327201</v>
      </c>
      <c r="D221">
        <f t="shared" si="9"/>
        <v>1.5896150891327241</v>
      </c>
      <c r="E221">
        <f t="shared" si="10"/>
        <v>3.9968028886505635E-15</v>
      </c>
      <c r="F221">
        <f t="shared" si="11"/>
        <v>2.4424906541753444E-15</v>
      </c>
    </row>
    <row r="222" spans="2:6" x14ac:dyDescent="0.3">
      <c r="B222">
        <v>0.217</v>
      </c>
      <c r="C222">
        <v>1.58979455402588</v>
      </c>
      <c r="D222">
        <f t="shared" si="9"/>
        <v>1.5897945540258862</v>
      </c>
      <c r="E222">
        <f t="shared" si="10"/>
        <v>6.2172489379008766E-15</v>
      </c>
      <c r="F222">
        <f t="shared" si="11"/>
        <v>3.9968028886505635E-15</v>
      </c>
    </row>
    <row r="223" spans="2:6" x14ac:dyDescent="0.3">
      <c r="B223">
        <v>0.218</v>
      </c>
      <c r="C223">
        <v>1.5899749400732399</v>
      </c>
      <c r="D223">
        <f t="shared" si="9"/>
        <v>1.5899749400732439</v>
      </c>
      <c r="E223">
        <f t="shared" si="10"/>
        <v>3.9968028886505635E-15</v>
      </c>
      <c r="F223">
        <f t="shared" si="11"/>
        <v>2.4424906541753444E-15</v>
      </c>
    </row>
    <row r="224" spans="2:6" x14ac:dyDescent="0.3">
      <c r="B224">
        <v>0.219</v>
      </c>
      <c r="C224">
        <v>1.59015624863817</v>
      </c>
      <c r="D224">
        <f t="shared" si="9"/>
        <v>1.5901562486381715</v>
      </c>
      <c r="E224">
        <f t="shared" si="10"/>
        <v>0</v>
      </c>
      <c r="F224">
        <f t="shared" si="11"/>
        <v>0</v>
      </c>
    </row>
    <row r="225" spans="2:6" x14ac:dyDescent="0.3">
      <c r="B225">
        <v>0.22</v>
      </c>
      <c r="C225">
        <v>1.5903384810924699</v>
      </c>
      <c r="D225">
        <f t="shared" si="9"/>
        <v>1.5903384810924717</v>
      </c>
      <c r="E225">
        <f t="shared" si="10"/>
        <v>1.7763568394002505E-15</v>
      </c>
      <c r="F225">
        <f t="shared" si="11"/>
        <v>0</v>
      </c>
    </row>
    <row r="226" spans="2:6" x14ac:dyDescent="0.3">
      <c r="B226">
        <v>0.221</v>
      </c>
      <c r="C226">
        <v>1.5905216388164001</v>
      </c>
      <c r="D226">
        <f t="shared" si="9"/>
        <v>1.5905216388164092</v>
      </c>
      <c r="E226">
        <f t="shared" si="10"/>
        <v>9.1038288019262836E-15</v>
      </c>
      <c r="F226">
        <f t="shared" si="11"/>
        <v>5.773159728050814E-15</v>
      </c>
    </row>
    <row r="227" spans="2:6" x14ac:dyDescent="0.3">
      <c r="B227">
        <v>0.222</v>
      </c>
      <c r="C227">
        <v>1.59070572319874</v>
      </c>
      <c r="D227">
        <f t="shared" si="9"/>
        <v>1.5907057231987456</v>
      </c>
      <c r="E227">
        <f t="shared" si="10"/>
        <v>5.5511151231257827E-15</v>
      </c>
      <c r="F227">
        <f t="shared" si="11"/>
        <v>3.5527136788005009E-15</v>
      </c>
    </row>
    <row r="228" spans="2:6" x14ac:dyDescent="0.3">
      <c r="B228">
        <v>0.223</v>
      </c>
      <c r="C228">
        <v>1.5908907356367701</v>
      </c>
      <c r="D228">
        <f t="shared" si="9"/>
        <v>1.5908907356367734</v>
      </c>
      <c r="E228">
        <f t="shared" si="10"/>
        <v>3.3306690738754696E-15</v>
      </c>
      <c r="F228">
        <f t="shared" si="11"/>
        <v>1.9984014443252818E-15</v>
      </c>
    </row>
    <row r="229" spans="2:6" x14ac:dyDescent="0.3">
      <c r="B229">
        <v>0.224</v>
      </c>
      <c r="C229">
        <v>1.5910766775363501</v>
      </c>
      <c r="D229">
        <f t="shared" si="9"/>
        <v>1.5910766775363512</v>
      </c>
      <c r="E229">
        <f t="shared" si="10"/>
        <v>0</v>
      </c>
      <c r="F229">
        <f t="shared" si="11"/>
        <v>0</v>
      </c>
    </row>
    <row r="230" spans="2:6" x14ac:dyDescent="0.3">
      <c r="B230">
        <v>0.22500000000000001</v>
      </c>
      <c r="C230">
        <v>1.5912635503119299</v>
      </c>
      <c r="D230">
        <f t="shared" si="9"/>
        <v>1.5912635503119379</v>
      </c>
      <c r="E230">
        <f t="shared" si="10"/>
        <v>7.9936057773011271E-15</v>
      </c>
      <c r="F230">
        <f t="shared" si="11"/>
        <v>5.1070259132757201E-15</v>
      </c>
    </row>
    <row r="231" spans="2:6" x14ac:dyDescent="0.3">
      <c r="B231">
        <v>0.22600000000000001</v>
      </c>
      <c r="C231">
        <v>1.5914513553866201</v>
      </c>
      <c r="D231">
        <f t="shared" si="9"/>
        <v>1.5914513553866294</v>
      </c>
      <c r="E231">
        <f t="shared" si="10"/>
        <v>9.3258734068513149E-15</v>
      </c>
      <c r="F231">
        <f t="shared" si="11"/>
        <v>5.773159728050814E-15</v>
      </c>
    </row>
    <row r="232" spans="2:6" x14ac:dyDescent="0.3">
      <c r="B232">
        <v>0.22700000000000001</v>
      </c>
      <c r="C232">
        <v>1.59164009419219</v>
      </c>
      <c r="D232">
        <f t="shared" si="9"/>
        <v>1.5916400941921931</v>
      </c>
      <c r="E232">
        <f t="shared" si="10"/>
        <v>3.1086244689504383E-15</v>
      </c>
      <c r="F232">
        <f t="shared" si="11"/>
        <v>1.9984014443252818E-15</v>
      </c>
    </row>
    <row r="233" spans="2:6" x14ac:dyDescent="0.3">
      <c r="B233">
        <v>0.22800000000000001</v>
      </c>
      <c r="C233">
        <v>1.5918297681691</v>
      </c>
      <c r="D233">
        <f t="shared" si="9"/>
        <v>1.5918297681691045</v>
      </c>
      <c r="E233">
        <f t="shared" si="10"/>
        <v>4.4408920985006262E-15</v>
      </c>
      <c r="F233">
        <f t="shared" si="11"/>
        <v>2.886579864025407E-15</v>
      </c>
    </row>
    <row r="234" spans="2:6" x14ac:dyDescent="0.3">
      <c r="B234">
        <v>0.22900000000000001</v>
      </c>
      <c r="C234">
        <v>1.5920203787665801</v>
      </c>
      <c r="D234">
        <f t="shared" si="9"/>
        <v>1.5920203787665823</v>
      </c>
      <c r="E234">
        <f t="shared" si="10"/>
        <v>2.2204460492503131E-15</v>
      </c>
      <c r="F234">
        <f t="shared" si="11"/>
        <v>0</v>
      </c>
    </row>
    <row r="235" spans="2:6" x14ac:dyDescent="0.3">
      <c r="B235">
        <v>0.23</v>
      </c>
      <c r="C235">
        <v>1.5922119274426201</v>
      </c>
      <c r="D235">
        <f t="shared" si="9"/>
        <v>1.5922119274426265</v>
      </c>
      <c r="E235">
        <f t="shared" si="10"/>
        <v>6.4392935428259079E-15</v>
      </c>
      <c r="F235">
        <f t="shared" si="11"/>
        <v>3.9968028886505635E-15</v>
      </c>
    </row>
    <row r="236" spans="2:6" x14ac:dyDescent="0.3">
      <c r="B236">
        <v>0.23100000000000001</v>
      </c>
      <c r="C236">
        <v>1.59240441566405</v>
      </c>
      <c r="D236">
        <f t="shared" si="9"/>
        <v>1.5924044156640538</v>
      </c>
      <c r="E236">
        <f t="shared" si="10"/>
        <v>3.7747582837255322E-15</v>
      </c>
      <c r="F236">
        <f t="shared" si="11"/>
        <v>2.4424906541753444E-15</v>
      </c>
    </row>
    <row r="237" spans="2:6" x14ac:dyDescent="0.3">
      <c r="B237">
        <v>0.23200000000000001</v>
      </c>
      <c r="C237">
        <v>1.5925978449065299</v>
      </c>
      <c r="D237">
        <f t="shared" si="9"/>
        <v>1.5925978449065348</v>
      </c>
      <c r="E237">
        <f t="shared" si="10"/>
        <v>4.8849813083506888E-15</v>
      </c>
      <c r="F237">
        <f t="shared" si="11"/>
        <v>3.1086244689504383E-15</v>
      </c>
    </row>
    <row r="238" spans="2:6" x14ac:dyDescent="0.3">
      <c r="B238">
        <v>0.23300000000000001</v>
      </c>
      <c r="C238">
        <v>1.59279221665463</v>
      </c>
      <c r="D238">
        <f t="shared" si="9"/>
        <v>1.5927922166546316</v>
      </c>
      <c r="E238">
        <f t="shared" si="10"/>
        <v>0</v>
      </c>
      <c r="F238">
        <f t="shared" si="11"/>
        <v>0</v>
      </c>
    </row>
    <row r="239" spans="2:6" x14ac:dyDescent="0.3">
      <c r="B239">
        <v>0.23400000000000001</v>
      </c>
      <c r="C239">
        <v>1.5929875324018301</v>
      </c>
      <c r="D239">
        <f t="shared" si="9"/>
        <v>1.5929875324018354</v>
      </c>
      <c r="E239">
        <f t="shared" si="10"/>
        <v>5.3290705182007514E-15</v>
      </c>
      <c r="F239">
        <f t="shared" si="11"/>
        <v>3.3306690738754696E-15</v>
      </c>
    </row>
    <row r="240" spans="2:6" x14ac:dyDescent="0.3">
      <c r="B240">
        <v>0.23499999999999999</v>
      </c>
      <c r="C240">
        <v>1.5931837936505999</v>
      </c>
      <c r="D240">
        <f t="shared" si="9"/>
        <v>1.5931837936506048</v>
      </c>
      <c r="E240">
        <f t="shared" si="10"/>
        <v>4.8849813083506888E-15</v>
      </c>
      <c r="F240">
        <f t="shared" si="11"/>
        <v>3.1086244689504383E-15</v>
      </c>
    </row>
    <row r="241" spans="2:6" x14ac:dyDescent="0.3">
      <c r="B241">
        <v>0.23599999999999999</v>
      </c>
      <c r="C241">
        <v>1.5933810019124</v>
      </c>
      <c r="D241">
        <f t="shared" si="9"/>
        <v>1.5933810019124024</v>
      </c>
      <c r="E241">
        <f t="shared" si="10"/>
        <v>2.4424906541753444E-15</v>
      </c>
      <c r="F241">
        <f t="shared" si="11"/>
        <v>0</v>
      </c>
    </row>
    <row r="242" spans="2:6" x14ac:dyDescent="0.3">
      <c r="B242">
        <v>0.23699999999999999</v>
      </c>
      <c r="C242">
        <v>1.5935791587077299</v>
      </c>
      <c r="D242">
        <f t="shared" si="9"/>
        <v>1.5935791587077346</v>
      </c>
      <c r="E242">
        <f t="shared" si="10"/>
        <v>4.6629367034256575E-15</v>
      </c>
      <c r="F242">
        <f t="shared" si="11"/>
        <v>2.886579864025407E-15</v>
      </c>
    </row>
    <row r="243" spans="2:6" x14ac:dyDescent="0.3">
      <c r="B243">
        <v>0.23799999999999999</v>
      </c>
      <c r="C243">
        <v>1.5937782655661901</v>
      </c>
      <c r="D243">
        <f t="shared" si="9"/>
        <v>1.5937782655661903</v>
      </c>
      <c r="E243">
        <f t="shared" si="10"/>
        <v>0</v>
      </c>
      <c r="F243">
        <f t="shared" si="11"/>
        <v>0</v>
      </c>
    </row>
    <row r="244" spans="2:6" x14ac:dyDescent="0.3">
      <c r="B244">
        <v>0.23899999999999999</v>
      </c>
      <c r="C244">
        <v>1.59397832402647</v>
      </c>
      <c r="D244">
        <f t="shared" si="9"/>
        <v>1.5939783240264791</v>
      </c>
      <c r="E244">
        <f t="shared" si="10"/>
        <v>9.1038288019262836E-15</v>
      </c>
      <c r="F244">
        <f t="shared" si="11"/>
        <v>5.773159728050814E-15</v>
      </c>
    </row>
    <row r="245" spans="2:6" x14ac:dyDescent="0.3">
      <c r="B245">
        <v>0.24</v>
      </c>
      <c r="C245">
        <v>1.59417933563647</v>
      </c>
      <c r="D245">
        <f t="shared" si="9"/>
        <v>1.5941793356364722</v>
      </c>
      <c r="E245">
        <f t="shared" si="10"/>
        <v>2.2204460492503131E-15</v>
      </c>
      <c r="F245">
        <f t="shared" si="11"/>
        <v>0</v>
      </c>
    </row>
    <row r="246" spans="2:6" x14ac:dyDescent="0.3">
      <c r="B246">
        <v>0.24099999999999999</v>
      </c>
      <c r="C246">
        <v>1.59438130195324</v>
      </c>
      <c r="D246">
        <f t="shared" si="9"/>
        <v>1.5943813019532402</v>
      </c>
      <c r="E246">
        <f t="shared" si="10"/>
        <v>0</v>
      </c>
      <c r="F246">
        <f t="shared" si="11"/>
        <v>0</v>
      </c>
    </row>
    <row r="247" spans="2:6" x14ac:dyDescent="0.3">
      <c r="B247">
        <v>0.24199999999999999</v>
      </c>
      <c r="C247">
        <v>1.5945842245430899</v>
      </c>
      <c r="D247">
        <f t="shared" si="9"/>
        <v>1.5945842245430941</v>
      </c>
      <c r="E247">
        <f t="shared" si="10"/>
        <v>4.2188474935755949E-15</v>
      </c>
      <c r="F247">
        <f t="shared" si="11"/>
        <v>2.6645352591003757E-15</v>
      </c>
    </row>
    <row r="248" spans="2:6" x14ac:dyDescent="0.3">
      <c r="B248">
        <v>0.24299999999999999</v>
      </c>
      <c r="C248">
        <v>1.5947881049816199</v>
      </c>
      <c r="D248">
        <f t="shared" si="9"/>
        <v>1.5947881049816253</v>
      </c>
      <c r="E248">
        <f t="shared" si="10"/>
        <v>5.3290705182007514E-15</v>
      </c>
      <c r="F248">
        <f t="shared" si="11"/>
        <v>3.3306690738754696E-15</v>
      </c>
    </row>
    <row r="249" spans="2:6" x14ac:dyDescent="0.3">
      <c r="B249">
        <v>0.24399999999999999</v>
      </c>
      <c r="C249">
        <v>1.5949929448537401</v>
      </c>
      <c r="D249">
        <f t="shared" si="9"/>
        <v>1.5949929448537465</v>
      </c>
      <c r="E249">
        <f t="shared" si="10"/>
        <v>6.4392935428259079E-15</v>
      </c>
      <c r="F249">
        <f t="shared" si="11"/>
        <v>3.9968028886505635E-15</v>
      </c>
    </row>
    <row r="250" spans="2:6" x14ac:dyDescent="0.3">
      <c r="B250">
        <v>0.245</v>
      </c>
      <c r="C250">
        <v>1.59519874575373</v>
      </c>
      <c r="D250">
        <f t="shared" si="9"/>
        <v>1.595198745753732</v>
      </c>
      <c r="E250">
        <f t="shared" si="10"/>
        <v>1.9984014443252818E-15</v>
      </c>
      <c r="F250">
        <f t="shared" si="11"/>
        <v>0</v>
      </c>
    </row>
    <row r="251" spans="2:6" x14ac:dyDescent="0.3">
      <c r="B251">
        <v>0.246</v>
      </c>
      <c r="C251">
        <v>1.5954055092852499</v>
      </c>
      <c r="D251">
        <f t="shared" si="9"/>
        <v>1.5954055092852595</v>
      </c>
      <c r="E251">
        <f t="shared" si="10"/>
        <v>9.5479180117763462E-15</v>
      </c>
      <c r="F251">
        <f t="shared" si="11"/>
        <v>5.9952043329758453E-15</v>
      </c>
    </row>
    <row r="252" spans="2:6" x14ac:dyDescent="0.3">
      <c r="B252">
        <v>0.247</v>
      </c>
      <c r="C252">
        <v>1.59561323706145</v>
      </c>
      <c r="D252">
        <f t="shared" si="9"/>
        <v>1.5956132370614513</v>
      </c>
      <c r="E252">
        <f t="shared" si="10"/>
        <v>0</v>
      </c>
      <c r="F252">
        <f t="shared" si="11"/>
        <v>0</v>
      </c>
    </row>
    <row r="253" spans="2:6" x14ac:dyDescent="0.3">
      <c r="B253">
        <v>0.248</v>
      </c>
      <c r="C253">
        <v>1.59582193070491</v>
      </c>
      <c r="D253">
        <f t="shared" si="9"/>
        <v>1.595821930704916</v>
      </c>
      <c r="E253">
        <f t="shared" si="10"/>
        <v>5.9952043329758453E-15</v>
      </c>
      <c r="F253">
        <f t="shared" si="11"/>
        <v>3.7747582837255322E-15</v>
      </c>
    </row>
    <row r="254" spans="2:6" x14ac:dyDescent="0.3">
      <c r="B254">
        <v>0.249</v>
      </c>
      <c r="C254">
        <v>1.5960315918477901</v>
      </c>
      <c r="D254">
        <f t="shared" si="9"/>
        <v>1.5960315918477905</v>
      </c>
      <c r="E254">
        <f t="shared" si="10"/>
        <v>0</v>
      </c>
      <c r="F254">
        <f t="shared" si="11"/>
        <v>0</v>
      </c>
    </row>
    <row r="255" spans="2:6" x14ac:dyDescent="0.3">
      <c r="B255">
        <v>0.25</v>
      </c>
      <c r="C255">
        <v>1.59624222213178</v>
      </c>
      <c r="D255">
        <f t="shared" si="9"/>
        <v>1.5962422221317834</v>
      </c>
      <c r="E255">
        <f t="shared" si="10"/>
        <v>3.3306690738754696E-15</v>
      </c>
      <c r="F255">
        <f t="shared" si="11"/>
        <v>1.9984014443252818E-15</v>
      </c>
    </row>
    <row r="256" spans="2:6" x14ac:dyDescent="0.3">
      <c r="B256">
        <v>0.251</v>
      </c>
      <c r="C256">
        <v>1.5964538232082099</v>
      </c>
      <c r="D256">
        <f t="shared" si="9"/>
        <v>1.5964538232082168</v>
      </c>
      <c r="E256">
        <f t="shared" si="10"/>
        <v>6.8833827526759706E-15</v>
      </c>
      <c r="F256">
        <f t="shared" si="11"/>
        <v>4.2188474935755949E-15</v>
      </c>
    </row>
    <row r="257" spans="2:6" x14ac:dyDescent="0.3">
      <c r="B257">
        <v>0.252</v>
      </c>
      <c r="C257">
        <v>1.5966663967380701</v>
      </c>
      <c r="D257">
        <f t="shared" si="9"/>
        <v>1.5966663967380699</v>
      </c>
      <c r="E257">
        <f t="shared" si="10"/>
        <v>0</v>
      </c>
      <c r="F257">
        <f t="shared" si="11"/>
        <v>0</v>
      </c>
    </row>
    <row r="258" spans="2:6" x14ac:dyDescent="0.3">
      <c r="B258">
        <v>0.253</v>
      </c>
      <c r="C258">
        <v>1.5968799443920201</v>
      </c>
      <c r="D258">
        <f t="shared" si="9"/>
        <v>1.5968799443920223</v>
      </c>
      <c r="E258">
        <f t="shared" si="10"/>
        <v>2.2204460492503131E-15</v>
      </c>
      <c r="F258">
        <f t="shared" si="11"/>
        <v>0</v>
      </c>
    </row>
    <row r="259" spans="2:6" x14ac:dyDescent="0.3">
      <c r="B259">
        <v>0.254</v>
      </c>
      <c r="C259">
        <v>1.5970944678504899</v>
      </c>
      <c r="D259">
        <f t="shared" si="9"/>
        <v>1.5970944678504975</v>
      </c>
      <c r="E259">
        <f t="shared" si="10"/>
        <v>7.5495165674510645E-15</v>
      </c>
      <c r="F259">
        <f t="shared" si="11"/>
        <v>4.6629367034256575E-15</v>
      </c>
    </row>
    <row r="260" spans="2:6" x14ac:dyDescent="0.3">
      <c r="B260">
        <v>0.255</v>
      </c>
      <c r="C260">
        <v>1.5973099688037</v>
      </c>
      <c r="D260">
        <f t="shared" si="9"/>
        <v>1.5973099688037078</v>
      </c>
      <c r="E260">
        <f t="shared" si="10"/>
        <v>7.7715611723760958E-15</v>
      </c>
      <c r="F260">
        <f t="shared" si="11"/>
        <v>4.8849813083506888E-15</v>
      </c>
    </row>
    <row r="261" spans="2:6" x14ac:dyDescent="0.3">
      <c r="B261">
        <v>0.25600000000000001</v>
      </c>
      <c r="C261">
        <v>1.59752644895169</v>
      </c>
      <c r="D261">
        <f t="shared" si="9"/>
        <v>1.5975264489516985</v>
      </c>
      <c r="E261">
        <f t="shared" si="10"/>
        <v>8.4376949871511897E-15</v>
      </c>
      <c r="F261">
        <f t="shared" si="11"/>
        <v>5.3290705182007514E-15</v>
      </c>
    </row>
    <row r="262" spans="2:6" x14ac:dyDescent="0.3">
      <c r="B262">
        <v>0.25700000000000001</v>
      </c>
      <c r="C262">
        <v>1.59774391000439</v>
      </c>
      <c r="D262">
        <f t="shared" ref="D262:D325" si="12">completeElliptic1($B262*$B262)</f>
        <v>1.5977439100043915</v>
      </c>
      <c r="E262">
        <f t="shared" ref="E262:E325" si="13">$D262-$C262</f>
        <v>0</v>
      </c>
      <c r="F262">
        <f t="shared" ref="F262:F325" si="14">$D262/$C262-1</f>
        <v>0</v>
      </c>
    </row>
    <row r="263" spans="2:6" x14ac:dyDescent="0.3">
      <c r="B263">
        <v>0.25800000000000001</v>
      </c>
      <c r="C263">
        <v>1.5979623536816301</v>
      </c>
      <c r="D263">
        <f t="shared" si="12"/>
        <v>1.5979623536816328</v>
      </c>
      <c r="E263">
        <f t="shared" si="13"/>
        <v>2.6645352591003757E-15</v>
      </c>
      <c r="F263">
        <f t="shared" si="14"/>
        <v>1.7763568394002505E-15</v>
      </c>
    </row>
    <row r="264" spans="2:6" x14ac:dyDescent="0.3">
      <c r="B264">
        <v>0.25900000000000001</v>
      </c>
      <c r="C264">
        <v>1.59818178171323</v>
      </c>
      <c r="D264">
        <f t="shared" si="12"/>
        <v>1.5981817817132355</v>
      </c>
      <c r="E264">
        <f t="shared" si="13"/>
        <v>5.5511151231257827E-15</v>
      </c>
      <c r="F264">
        <f t="shared" si="14"/>
        <v>3.5527136788005009E-15</v>
      </c>
    </row>
    <row r="265" spans="2:6" x14ac:dyDescent="0.3">
      <c r="B265">
        <v>0.26</v>
      </c>
      <c r="C265">
        <v>1.59840219583902</v>
      </c>
      <c r="D265">
        <f t="shared" si="12"/>
        <v>1.5984021958390275</v>
      </c>
      <c r="E265">
        <f t="shared" si="13"/>
        <v>7.5495165674510645E-15</v>
      </c>
      <c r="F265">
        <f t="shared" si="14"/>
        <v>4.6629367034256575E-15</v>
      </c>
    </row>
    <row r="266" spans="2:6" x14ac:dyDescent="0.3">
      <c r="B266">
        <v>0.26100000000000001</v>
      </c>
      <c r="C266">
        <v>1.5986235978088901</v>
      </c>
      <c r="D266">
        <f t="shared" si="12"/>
        <v>1.5986235978088965</v>
      </c>
      <c r="E266">
        <f t="shared" si="13"/>
        <v>6.4392935428259079E-15</v>
      </c>
      <c r="F266">
        <f t="shared" si="14"/>
        <v>3.9968028886505635E-15</v>
      </c>
    </row>
    <row r="267" spans="2:6" x14ac:dyDescent="0.3">
      <c r="B267">
        <v>0.26200000000000001</v>
      </c>
      <c r="C267">
        <v>1.59884598938283</v>
      </c>
      <c r="D267">
        <f t="shared" si="12"/>
        <v>1.5988459893828373</v>
      </c>
      <c r="E267">
        <f t="shared" si="13"/>
        <v>7.3274719625260332E-15</v>
      </c>
      <c r="F267">
        <f t="shared" si="14"/>
        <v>4.6629367034256575E-15</v>
      </c>
    </row>
    <row r="268" spans="2:6" x14ac:dyDescent="0.3">
      <c r="B268">
        <v>0.26300000000000001</v>
      </c>
      <c r="C268">
        <v>1.5990693723309899</v>
      </c>
      <c r="D268">
        <f t="shared" si="12"/>
        <v>1.5990693723309981</v>
      </c>
      <c r="E268">
        <f t="shared" si="13"/>
        <v>8.2156503822261584E-15</v>
      </c>
      <c r="F268">
        <f t="shared" si="14"/>
        <v>5.1070259132757201E-15</v>
      </c>
    </row>
    <row r="269" spans="2:6" x14ac:dyDescent="0.3">
      <c r="B269">
        <v>0.26400000000000001</v>
      </c>
      <c r="C269">
        <v>1.59929374843372</v>
      </c>
      <c r="D269">
        <f t="shared" si="12"/>
        <v>1.5992937484337286</v>
      </c>
      <c r="E269">
        <f t="shared" si="13"/>
        <v>8.659739592076221E-15</v>
      </c>
      <c r="F269">
        <f t="shared" si="14"/>
        <v>5.3290705182007514E-15</v>
      </c>
    </row>
    <row r="270" spans="2:6" x14ac:dyDescent="0.3">
      <c r="B270">
        <v>0.26500000000000001</v>
      </c>
      <c r="C270">
        <v>1.5995191194816201</v>
      </c>
      <c r="D270">
        <f t="shared" si="12"/>
        <v>1.5995191194816265</v>
      </c>
      <c r="E270">
        <f t="shared" si="13"/>
        <v>6.4392935428259079E-15</v>
      </c>
      <c r="F270">
        <f t="shared" si="14"/>
        <v>3.9968028886505635E-15</v>
      </c>
    </row>
    <row r="271" spans="2:6" x14ac:dyDescent="0.3">
      <c r="B271">
        <v>0.26600000000000001</v>
      </c>
      <c r="C271">
        <v>1.5997454872755801</v>
      </c>
      <c r="D271">
        <f t="shared" si="12"/>
        <v>1.5997454872755863</v>
      </c>
      <c r="E271">
        <f t="shared" si="13"/>
        <v>6.2172489379008766E-15</v>
      </c>
      <c r="F271">
        <f t="shared" si="14"/>
        <v>3.9968028886505635E-15</v>
      </c>
    </row>
    <row r="272" spans="2:6" x14ac:dyDescent="0.3">
      <c r="B272">
        <v>0.26700000000000002</v>
      </c>
      <c r="C272">
        <v>1.5999728536268401</v>
      </c>
      <c r="D272">
        <f t="shared" si="12"/>
        <v>1.5999728536268476</v>
      </c>
      <c r="E272">
        <f t="shared" si="13"/>
        <v>7.5495165674510645E-15</v>
      </c>
      <c r="F272">
        <f t="shared" si="14"/>
        <v>4.6629367034256575E-15</v>
      </c>
    </row>
    <row r="273" spans="2:6" x14ac:dyDescent="0.3">
      <c r="B273">
        <v>0.26800000000000002</v>
      </c>
      <c r="C273">
        <v>1.6002012203570399</v>
      </c>
      <c r="D273">
        <f t="shared" si="12"/>
        <v>1.6002012203570433</v>
      </c>
      <c r="E273">
        <f t="shared" si="13"/>
        <v>3.3306690738754696E-15</v>
      </c>
      <c r="F273">
        <f t="shared" si="14"/>
        <v>1.9984014443252818E-15</v>
      </c>
    </row>
    <row r="274" spans="2:6" x14ac:dyDescent="0.3">
      <c r="B274">
        <v>0.26900000000000002</v>
      </c>
      <c r="C274">
        <v>1.60043058929824</v>
      </c>
      <c r="D274">
        <f t="shared" si="12"/>
        <v>1.6004305892982491</v>
      </c>
      <c r="E274">
        <f t="shared" si="13"/>
        <v>9.1038288019262836E-15</v>
      </c>
      <c r="F274">
        <f t="shared" si="14"/>
        <v>5.773159728050814E-15</v>
      </c>
    </row>
    <row r="275" spans="2:6" x14ac:dyDescent="0.3">
      <c r="B275">
        <v>0.27</v>
      </c>
      <c r="C275">
        <v>1.6006609622930299</v>
      </c>
      <c r="D275">
        <f t="shared" si="12"/>
        <v>1.6006609622930332</v>
      </c>
      <c r="E275">
        <f t="shared" si="13"/>
        <v>3.3306690738754696E-15</v>
      </c>
      <c r="F275">
        <f t="shared" si="14"/>
        <v>1.9984014443252818E-15</v>
      </c>
    </row>
    <row r="276" spans="2:6" x14ac:dyDescent="0.3">
      <c r="B276">
        <v>0.27100000000000002</v>
      </c>
      <c r="C276">
        <v>1.6008923411945</v>
      </c>
      <c r="D276">
        <f t="shared" si="12"/>
        <v>1.6008923411945057</v>
      </c>
      <c r="E276">
        <f t="shared" si="13"/>
        <v>5.773159728050814E-15</v>
      </c>
      <c r="F276">
        <f t="shared" si="14"/>
        <v>3.5527136788005009E-15</v>
      </c>
    </row>
    <row r="277" spans="2:6" x14ac:dyDescent="0.3">
      <c r="B277">
        <v>0.27200000000000002</v>
      </c>
      <c r="C277">
        <v>1.6011247278663601</v>
      </c>
      <c r="D277">
        <f t="shared" si="12"/>
        <v>1.6011247278663689</v>
      </c>
      <c r="E277">
        <f t="shared" si="13"/>
        <v>8.8817841970012523E-15</v>
      </c>
      <c r="F277">
        <f t="shared" si="14"/>
        <v>5.5511151231257827E-15</v>
      </c>
    </row>
    <row r="278" spans="2:6" x14ac:dyDescent="0.3">
      <c r="B278">
        <v>0.27300000000000002</v>
      </c>
      <c r="C278">
        <v>1.60135812418296</v>
      </c>
      <c r="D278">
        <f t="shared" si="12"/>
        <v>1.601358124182968</v>
      </c>
      <c r="E278">
        <f t="shared" si="13"/>
        <v>7.9936057773011271E-15</v>
      </c>
      <c r="F278">
        <f t="shared" si="14"/>
        <v>4.8849813083506888E-15</v>
      </c>
    </row>
    <row r="279" spans="2:6" x14ac:dyDescent="0.3">
      <c r="B279">
        <v>0.27400000000000002</v>
      </c>
      <c r="C279">
        <v>1.60159253202934</v>
      </c>
      <c r="D279">
        <f t="shared" si="12"/>
        <v>1.6015925320293418</v>
      </c>
      <c r="E279">
        <f t="shared" si="13"/>
        <v>1.7763568394002505E-15</v>
      </c>
      <c r="F279">
        <f t="shared" si="14"/>
        <v>0</v>
      </c>
    </row>
    <row r="280" spans="2:6" x14ac:dyDescent="0.3">
      <c r="B280">
        <v>0.27500000000000002</v>
      </c>
      <c r="C280">
        <v>1.60182795330127</v>
      </c>
      <c r="D280">
        <f t="shared" si="12"/>
        <v>1.6018279533012754</v>
      </c>
      <c r="E280">
        <f t="shared" si="13"/>
        <v>5.3290705182007514E-15</v>
      </c>
      <c r="F280">
        <f t="shared" si="14"/>
        <v>3.3306690738754696E-15</v>
      </c>
    </row>
    <row r="281" spans="2:6" x14ac:dyDescent="0.3">
      <c r="B281">
        <v>0.27600000000000002</v>
      </c>
      <c r="C281">
        <v>1.6020643899053399</v>
      </c>
      <c r="D281">
        <f t="shared" si="12"/>
        <v>1.6020643899053495</v>
      </c>
      <c r="E281">
        <f t="shared" si="13"/>
        <v>9.5479180117763462E-15</v>
      </c>
      <c r="F281">
        <f t="shared" si="14"/>
        <v>5.9952043329758453E-15</v>
      </c>
    </row>
    <row r="282" spans="2:6" x14ac:dyDescent="0.3">
      <c r="B282">
        <v>0.27700000000000002</v>
      </c>
      <c r="C282">
        <v>1.60230184375899</v>
      </c>
      <c r="D282">
        <f t="shared" si="12"/>
        <v>1.602301843758996</v>
      </c>
      <c r="E282">
        <f t="shared" si="13"/>
        <v>5.9952043329758453E-15</v>
      </c>
      <c r="F282">
        <f t="shared" si="14"/>
        <v>3.7747582837255322E-15</v>
      </c>
    </row>
    <row r="283" spans="2:6" x14ac:dyDescent="0.3">
      <c r="B283">
        <v>0.27800000000000002</v>
      </c>
      <c r="C283">
        <v>1.6025403167905401</v>
      </c>
      <c r="D283">
        <f t="shared" si="12"/>
        <v>1.6025403167905468</v>
      </c>
      <c r="E283">
        <f t="shared" si="13"/>
        <v>6.6613381477509392E-15</v>
      </c>
      <c r="F283">
        <f t="shared" si="14"/>
        <v>4.2188474935755949E-15</v>
      </c>
    </row>
    <row r="284" spans="2:6" x14ac:dyDescent="0.3">
      <c r="B284">
        <v>0.27900000000000003</v>
      </c>
      <c r="C284">
        <v>1.6027798109392799</v>
      </c>
      <c r="D284">
        <f t="shared" si="12"/>
        <v>1.6027798109392897</v>
      </c>
      <c r="E284">
        <f t="shared" si="13"/>
        <v>9.7699626167013776E-15</v>
      </c>
      <c r="F284">
        <f t="shared" si="14"/>
        <v>5.9952043329758453E-15</v>
      </c>
    </row>
    <row r="285" spans="2:6" x14ac:dyDescent="0.3">
      <c r="B285">
        <v>0.28000000000000003</v>
      </c>
      <c r="C285">
        <v>1.60302032815552</v>
      </c>
      <c r="D285">
        <f t="shared" si="12"/>
        <v>1.6030203281555206</v>
      </c>
      <c r="E285">
        <f t="shared" si="13"/>
        <v>0</v>
      </c>
      <c r="F285">
        <f t="shared" si="14"/>
        <v>0</v>
      </c>
    </row>
    <row r="286" spans="2:6" x14ac:dyDescent="0.3">
      <c r="B286">
        <v>0.28100000000000003</v>
      </c>
      <c r="C286">
        <v>1.6032618704005901</v>
      </c>
      <c r="D286">
        <f t="shared" si="12"/>
        <v>1.6032618704005976</v>
      </c>
      <c r="E286">
        <f t="shared" si="13"/>
        <v>7.5495165674510645E-15</v>
      </c>
      <c r="F286">
        <f t="shared" si="14"/>
        <v>4.6629367034256575E-15</v>
      </c>
    </row>
    <row r="287" spans="2:6" x14ac:dyDescent="0.3">
      <c r="B287">
        <v>0.28199999999999997</v>
      </c>
      <c r="C287">
        <v>1.60350443964699</v>
      </c>
      <c r="D287">
        <f t="shared" si="12"/>
        <v>1.6035044396469946</v>
      </c>
      <c r="E287">
        <f t="shared" si="13"/>
        <v>4.6629367034256575E-15</v>
      </c>
      <c r="F287">
        <f t="shared" si="14"/>
        <v>2.886579864025407E-15</v>
      </c>
    </row>
    <row r="288" spans="2:6" x14ac:dyDescent="0.3">
      <c r="B288">
        <v>0.28299999999999997</v>
      </c>
      <c r="C288">
        <v>1.60374803787835</v>
      </c>
      <c r="D288">
        <f t="shared" si="12"/>
        <v>1.6037480378783571</v>
      </c>
      <c r="E288">
        <f t="shared" si="13"/>
        <v>7.1054273576010019E-15</v>
      </c>
      <c r="F288">
        <f t="shared" si="14"/>
        <v>4.4408920985006262E-15</v>
      </c>
    </row>
    <row r="289" spans="2:6" x14ac:dyDescent="0.3">
      <c r="B289">
        <v>0.28399999999999997</v>
      </c>
      <c r="C289">
        <v>1.6039926670895499</v>
      </c>
      <c r="D289">
        <f t="shared" si="12"/>
        <v>1.6039926670895563</v>
      </c>
      <c r="E289">
        <f t="shared" si="13"/>
        <v>6.4392935428259079E-15</v>
      </c>
      <c r="F289">
        <f t="shared" si="14"/>
        <v>3.9968028886505635E-15</v>
      </c>
    </row>
    <row r="290" spans="2:6" x14ac:dyDescent="0.3">
      <c r="B290">
        <v>0.28499999999999998</v>
      </c>
      <c r="C290">
        <v>1.6042383292867399</v>
      </c>
      <c r="D290">
        <f t="shared" si="12"/>
        <v>1.6042383292867448</v>
      </c>
      <c r="E290">
        <f t="shared" si="13"/>
        <v>4.8849813083506888E-15</v>
      </c>
      <c r="F290">
        <f t="shared" si="14"/>
        <v>3.1086244689504383E-15</v>
      </c>
    </row>
    <row r="291" spans="2:6" x14ac:dyDescent="0.3">
      <c r="B291">
        <v>0.28599999999999998</v>
      </c>
      <c r="C291">
        <v>1.60448502648741</v>
      </c>
      <c r="D291">
        <f t="shared" si="12"/>
        <v>1.6044850264874124</v>
      </c>
      <c r="E291">
        <f t="shared" si="13"/>
        <v>2.4424906541753444E-15</v>
      </c>
      <c r="F291">
        <f t="shared" si="14"/>
        <v>0</v>
      </c>
    </row>
    <row r="292" spans="2:6" x14ac:dyDescent="0.3">
      <c r="B292">
        <v>0.28699999999999998</v>
      </c>
      <c r="C292">
        <v>1.60473276072044</v>
      </c>
      <c r="D292">
        <f t="shared" si="12"/>
        <v>1.6047327607204434</v>
      </c>
      <c r="E292">
        <f t="shared" si="13"/>
        <v>3.3306690738754696E-15</v>
      </c>
      <c r="F292">
        <f t="shared" si="14"/>
        <v>1.9984014443252818E-15</v>
      </c>
    </row>
    <row r="293" spans="2:6" x14ac:dyDescent="0.3">
      <c r="B293">
        <v>0.28799999999999998</v>
      </c>
      <c r="C293">
        <v>1.6049815340261699</v>
      </c>
      <c r="D293">
        <f t="shared" si="12"/>
        <v>1.6049815340261722</v>
      </c>
      <c r="E293">
        <f t="shared" si="13"/>
        <v>2.2204460492503131E-15</v>
      </c>
      <c r="F293">
        <f t="shared" si="14"/>
        <v>0</v>
      </c>
    </row>
    <row r="294" spans="2:6" x14ac:dyDescent="0.3">
      <c r="B294">
        <v>0.28899999999999998</v>
      </c>
      <c r="C294">
        <v>1.60523134845644</v>
      </c>
      <c r="D294">
        <f t="shared" si="12"/>
        <v>1.6052313484564404</v>
      </c>
      <c r="E294">
        <f t="shared" si="13"/>
        <v>0</v>
      </c>
      <c r="F294">
        <f t="shared" si="14"/>
        <v>0</v>
      </c>
    </row>
    <row r="295" spans="2:6" x14ac:dyDescent="0.3">
      <c r="B295">
        <v>0.28999999999999998</v>
      </c>
      <c r="C295">
        <v>1.6054822060746501</v>
      </c>
      <c r="D295">
        <f t="shared" si="12"/>
        <v>1.6054822060746561</v>
      </c>
      <c r="E295">
        <f t="shared" si="13"/>
        <v>5.9952043329758453E-15</v>
      </c>
      <c r="F295">
        <f t="shared" si="14"/>
        <v>3.7747582837255322E-15</v>
      </c>
    </row>
    <row r="296" spans="2:6" x14ac:dyDescent="0.3">
      <c r="B296">
        <v>0.29099999999999998</v>
      </c>
      <c r="C296">
        <v>1.6057341089558499</v>
      </c>
      <c r="D296">
        <f t="shared" si="12"/>
        <v>1.6057341089558503</v>
      </c>
      <c r="E296">
        <f t="shared" si="13"/>
        <v>0</v>
      </c>
      <c r="F296">
        <f t="shared" si="14"/>
        <v>0</v>
      </c>
    </row>
    <row r="297" spans="2:6" x14ac:dyDescent="0.3">
      <c r="B297">
        <v>0.29199999999999998</v>
      </c>
      <c r="C297">
        <v>1.60598705918673</v>
      </c>
      <c r="D297">
        <f t="shared" si="12"/>
        <v>1.6059870591867356</v>
      </c>
      <c r="E297">
        <f t="shared" si="13"/>
        <v>5.5511151231257827E-15</v>
      </c>
      <c r="F297">
        <f t="shared" si="14"/>
        <v>3.5527136788005009E-15</v>
      </c>
    </row>
    <row r="298" spans="2:6" x14ac:dyDescent="0.3">
      <c r="B298">
        <v>0.29299999999999998</v>
      </c>
      <c r="C298">
        <v>1.6062410588657601</v>
      </c>
      <c r="D298">
        <f t="shared" si="12"/>
        <v>1.6062410588657665</v>
      </c>
      <c r="E298">
        <f t="shared" si="13"/>
        <v>6.4392935428259079E-15</v>
      </c>
      <c r="F298">
        <f t="shared" si="14"/>
        <v>3.9968028886505635E-15</v>
      </c>
    </row>
    <row r="299" spans="2:6" x14ac:dyDescent="0.3">
      <c r="B299">
        <v>0.29399999999999998</v>
      </c>
      <c r="C299">
        <v>1.60649611010319</v>
      </c>
      <c r="D299">
        <f t="shared" si="12"/>
        <v>1.606496110103198</v>
      </c>
      <c r="E299">
        <f t="shared" si="13"/>
        <v>7.9936057773011271E-15</v>
      </c>
      <c r="F299">
        <f t="shared" si="14"/>
        <v>4.8849813083506888E-15</v>
      </c>
    </row>
    <row r="300" spans="2:6" x14ac:dyDescent="0.3">
      <c r="B300">
        <v>0.29499999999999998</v>
      </c>
      <c r="C300">
        <v>1.60675221502114</v>
      </c>
      <c r="D300">
        <f t="shared" si="12"/>
        <v>1.6067522150211444</v>
      </c>
      <c r="E300">
        <f t="shared" si="13"/>
        <v>4.4408920985006262E-15</v>
      </c>
      <c r="F300">
        <f t="shared" si="14"/>
        <v>2.6645352591003757E-15</v>
      </c>
    </row>
    <row r="301" spans="2:6" x14ac:dyDescent="0.3">
      <c r="B301">
        <v>0.29599999999999999</v>
      </c>
      <c r="C301">
        <v>1.6070093757536399</v>
      </c>
      <c r="D301">
        <f t="shared" si="12"/>
        <v>1.6070093757536423</v>
      </c>
      <c r="E301">
        <f t="shared" si="13"/>
        <v>2.4424906541753444E-15</v>
      </c>
      <c r="F301">
        <f t="shared" si="14"/>
        <v>0</v>
      </c>
    </row>
    <row r="302" spans="2:6" x14ac:dyDescent="0.3">
      <c r="B302">
        <v>0.29699999999999999</v>
      </c>
      <c r="C302">
        <v>1.6072675944467001</v>
      </c>
      <c r="D302">
        <f t="shared" si="12"/>
        <v>1.607267594446709</v>
      </c>
      <c r="E302">
        <f t="shared" si="13"/>
        <v>8.8817841970012523E-15</v>
      </c>
      <c r="F302">
        <f t="shared" si="14"/>
        <v>5.5511151231257827E-15</v>
      </c>
    </row>
    <row r="303" spans="2:6" x14ac:dyDescent="0.3">
      <c r="B303">
        <v>0.29799999999999999</v>
      </c>
      <c r="C303">
        <v>1.6075268732584</v>
      </c>
      <c r="D303">
        <f t="shared" si="12"/>
        <v>1.6075268732584049</v>
      </c>
      <c r="E303">
        <f t="shared" si="13"/>
        <v>4.8849813083506888E-15</v>
      </c>
      <c r="F303">
        <f t="shared" si="14"/>
        <v>3.1086244689504383E-15</v>
      </c>
    </row>
    <row r="304" spans="2:6" x14ac:dyDescent="0.3">
      <c r="B304">
        <v>0.29899999999999999</v>
      </c>
      <c r="C304">
        <v>1.60778721435889</v>
      </c>
      <c r="D304">
        <f t="shared" si="12"/>
        <v>1.6077872143588954</v>
      </c>
      <c r="E304">
        <f t="shared" si="13"/>
        <v>5.3290705182007514E-15</v>
      </c>
      <c r="F304">
        <f t="shared" si="14"/>
        <v>3.3306690738754696E-15</v>
      </c>
    </row>
    <row r="305" spans="2:6" x14ac:dyDescent="0.3">
      <c r="B305">
        <v>0.3</v>
      </c>
      <c r="C305">
        <v>1.60804861993051</v>
      </c>
      <c r="D305">
        <f t="shared" si="12"/>
        <v>1.6080486199305128</v>
      </c>
      <c r="E305">
        <f t="shared" si="13"/>
        <v>2.886579864025407E-15</v>
      </c>
      <c r="F305">
        <f t="shared" si="14"/>
        <v>1.7763568394002505E-15</v>
      </c>
    </row>
    <row r="306" spans="2:6" x14ac:dyDescent="0.3">
      <c r="B306">
        <v>0.30099999999999999</v>
      </c>
      <c r="C306">
        <v>1.6083110921678101</v>
      </c>
      <c r="D306">
        <f t="shared" si="12"/>
        <v>1.6083110921678194</v>
      </c>
      <c r="E306">
        <f t="shared" si="13"/>
        <v>9.3258734068513149E-15</v>
      </c>
      <c r="F306">
        <f t="shared" si="14"/>
        <v>5.773159728050814E-15</v>
      </c>
    </row>
    <row r="307" spans="2:6" x14ac:dyDescent="0.3">
      <c r="B307">
        <v>0.30199999999999999</v>
      </c>
      <c r="C307">
        <v>1.60857463327767</v>
      </c>
      <c r="D307">
        <f t="shared" si="12"/>
        <v>1.6085746332776705</v>
      </c>
      <c r="E307">
        <f t="shared" si="13"/>
        <v>0</v>
      </c>
      <c r="F307">
        <f t="shared" si="14"/>
        <v>0</v>
      </c>
    </row>
    <row r="308" spans="2:6" x14ac:dyDescent="0.3">
      <c r="B308">
        <v>0.30299999999999999</v>
      </c>
      <c r="C308">
        <v>1.6088392454792699</v>
      </c>
      <c r="D308">
        <f t="shared" si="12"/>
        <v>1.6088392454792779</v>
      </c>
      <c r="E308">
        <f t="shared" si="13"/>
        <v>7.9936057773011271E-15</v>
      </c>
      <c r="F308">
        <f t="shared" si="14"/>
        <v>4.8849813083506888E-15</v>
      </c>
    </row>
    <row r="309" spans="2:6" x14ac:dyDescent="0.3">
      <c r="B309">
        <v>0.30399999999999999</v>
      </c>
      <c r="C309">
        <v>1.60910493100427</v>
      </c>
      <c r="D309">
        <f t="shared" si="12"/>
        <v>1.6091049310042747</v>
      </c>
      <c r="E309">
        <f t="shared" si="13"/>
        <v>4.6629367034256575E-15</v>
      </c>
      <c r="F309">
        <f t="shared" si="14"/>
        <v>2.886579864025407E-15</v>
      </c>
    </row>
    <row r="310" spans="2:6" x14ac:dyDescent="0.3">
      <c r="B310">
        <v>0.30499999999999999</v>
      </c>
      <c r="C310">
        <v>1.60937169209677</v>
      </c>
      <c r="D310">
        <f t="shared" si="12"/>
        <v>1.6093716920967795</v>
      </c>
      <c r="E310">
        <f t="shared" si="13"/>
        <v>9.5479180117763462E-15</v>
      </c>
      <c r="F310">
        <f t="shared" si="14"/>
        <v>5.9952043329758453E-15</v>
      </c>
    </row>
    <row r="311" spans="2:6" x14ac:dyDescent="0.3">
      <c r="B311">
        <v>0.30599999999999999</v>
      </c>
      <c r="C311">
        <v>1.6096395310134599</v>
      </c>
      <c r="D311">
        <f t="shared" si="12"/>
        <v>1.6096395310134621</v>
      </c>
      <c r="E311">
        <f t="shared" si="13"/>
        <v>2.2204460492503131E-15</v>
      </c>
      <c r="F311">
        <f t="shared" si="14"/>
        <v>0</v>
      </c>
    </row>
    <row r="312" spans="2:6" x14ac:dyDescent="0.3">
      <c r="B312">
        <v>0.307</v>
      </c>
      <c r="C312">
        <v>1.6099084500236001</v>
      </c>
      <c r="D312">
        <f t="shared" si="12"/>
        <v>1.6099084500236092</v>
      </c>
      <c r="E312">
        <f t="shared" si="13"/>
        <v>9.1038288019262836E-15</v>
      </c>
      <c r="F312">
        <f t="shared" si="14"/>
        <v>5.5511151231257827E-15</v>
      </c>
    </row>
    <row r="313" spans="2:6" x14ac:dyDescent="0.3">
      <c r="B313">
        <v>0.308</v>
      </c>
      <c r="C313">
        <v>1.6101784514091799</v>
      </c>
      <c r="D313">
        <f t="shared" si="12"/>
        <v>1.6101784514091899</v>
      </c>
      <c r="E313">
        <f t="shared" si="13"/>
        <v>9.9920072216264089E-15</v>
      </c>
      <c r="F313">
        <f t="shared" si="14"/>
        <v>6.2172489379008766E-15</v>
      </c>
    </row>
    <row r="314" spans="2:6" x14ac:dyDescent="0.3">
      <c r="B314">
        <v>0.309</v>
      </c>
      <c r="C314">
        <v>1.6104495374649199</v>
      </c>
      <c r="D314">
        <f t="shared" si="12"/>
        <v>1.6104495374649233</v>
      </c>
      <c r="E314">
        <f t="shared" si="13"/>
        <v>3.3306690738754696E-15</v>
      </c>
      <c r="F314">
        <f t="shared" si="14"/>
        <v>1.9984014443252818E-15</v>
      </c>
    </row>
    <row r="315" spans="2:6" x14ac:dyDescent="0.3">
      <c r="B315">
        <v>0.31</v>
      </c>
      <c r="C315">
        <v>1.61072171049834</v>
      </c>
      <c r="D315">
        <f t="shared" si="12"/>
        <v>1.6107217104983456</v>
      </c>
      <c r="E315">
        <f t="shared" si="13"/>
        <v>5.5511151231257827E-15</v>
      </c>
      <c r="F315">
        <f t="shared" si="14"/>
        <v>3.5527136788005009E-15</v>
      </c>
    </row>
    <row r="316" spans="2:6" x14ac:dyDescent="0.3">
      <c r="B316">
        <v>0.311</v>
      </c>
      <c r="C316">
        <v>1.61099497282987</v>
      </c>
      <c r="D316">
        <f t="shared" si="12"/>
        <v>1.610994972829878</v>
      </c>
      <c r="E316">
        <f t="shared" si="13"/>
        <v>7.9936057773011271E-15</v>
      </c>
      <c r="F316">
        <f t="shared" si="14"/>
        <v>4.8849813083506888E-15</v>
      </c>
    </row>
    <row r="317" spans="2:6" x14ac:dyDescent="0.3">
      <c r="B317">
        <v>0.312</v>
      </c>
      <c r="C317">
        <v>1.6112693267928899</v>
      </c>
      <c r="D317">
        <f t="shared" si="12"/>
        <v>1.6112693267928948</v>
      </c>
      <c r="E317">
        <f t="shared" si="13"/>
        <v>4.8849813083506888E-15</v>
      </c>
      <c r="F317">
        <f t="shared" si="14"/>
        <v>3.1086244689504383E-15</v>
      </c>
    </row>
    <row r="318" spans="2:6" x14ac:dyDescent="0.3">
      <c r="B318">
        <v>0.313</v>
      </c>
      <c r="C318">
        <v>1.6115447747337901</v>
      </c>
      <c r="D318">
        <f t="shared" si="12"/>
        <v>1.6115447747337921</v>
      </c>
      <c r="E318">
        <f t="shared" si="13"/>
        <v>1.9984014443252818E-15</v>
      </c>
      <c r="F318">
        <f t="shared" si="14"/>
        <v>0</v>
      </c>
    </row>
    <row r="319" spans="2:6" x14ac:dyDescent="0.3">
      <c r="B319">
        <v>0.314</v>
      </c>
      <c r="C319">
        <v>1.6118213190120501</v>
      </c>
      <c r="D319">
        <f t="shared" si="12"/>
        <v>1.6118213190120574</v>
      </c>
      <c r="E319">
        <f t="shared" si="13"/>
        <v>7.3274719625260332E-15</v>
      </c>
      <c r="F319">
        <f t="shared" si="14"/>
        <v>4.4408920985006262E-15</v>
      </c>
    </row>
    <row r="320" spans="2:6" x14ac:dyDescent="0.3">
      <c r="B320">
        <v>0.315</v>
      </c>
      <c r="C320">
        <v>1.6120989620003401</v>
      </c>
      <c r="D320">
        <f t="shared" si="12"/>
        <v>1.6120989620003403</v>
      </c>
      <c r="E320">
        <f t="shared" si="13"/>
        <v>0</v>
      </c>
      <c r="F320">
        <f t="shared" si="14"/>
        <v>0</v>
      </c>
    </row>
    <row r="321" spans="2:6" x14ac:dyDescent="0.3">
      <c r="B321">
        <v>0.316</v>
      </c>
      <c r="C321">
        <v>1.6123777060845199</v>
      </c>
      <c r="D321">
        <f t="shared" si="12"/>
        <v>1.6123777060845217</v>
      </c>
      <c r="E321">
        <f t="shared" si="13"/>
        <v>1.7763568394002505E-15</v>
      </c>
      <c r="F321">
        <f t="shared" si="14"/>
        <v>0</v>
      </c>
    </row>
    <row r="322" spans="2:6" x14ac:dyDescent="0.3">
      <c r="B322">
        <v>0.317</v>
      </c>
      <c r="C322">
        <v>1.6126575536637799</v>
      </c>
      <c r="D322">
        <f t="shared" si="12"/>
        <v>1.6126575536637864</v>
      </c>
      <c r="E322">
        <f t="shared" si="13"/>
        <v>6.4392935428259079E-15</v>
      </c>
      <c r="F322">
        <f t="shared" si="14"/>
        <v>3.9968028886505635E-15</v>
      </c>
    </row>
    <row r="323" spans="2:6" x14ac:dyDescent="0.3">
      <c r="B323">
        <v>0.318</v>
      </c>
      <c r="C323">
        <v>1.6129385071506901</v>
      </c>
      <c r="D323">
        <f t="shared" si="12"/>
        <v>1.6129385071506923</v>
      </c>
      <c r="E323">
        <f t="shared" si="13"/>
        <v>2.2204460492503131E-15</v>
      </c>
      <c r="F323">
        <f t="shared" si="14"/>
        <v>0</v>
      </c>
    </row>
    <row r="324" spans="2:6" x14ac:dyDescent="0.3">
      <c r="B324">
        <v>0.31900000000000001</v>
      </c>
      <c r="C324">
        <v>1.61322056897124</v>
      </c>
      <c r="D324">
        <f t="shared" si="12"/>
        <v>1.6132205689712458</v>
      </c>
      <c r="E324">
        <f t="shared" si="13"/>
        <v>5.773159728050814E-15</v>
      </c>
      <c r="F324">
        <f t="shared" si="14"/>
        <v>3.5527136788005009E-15</v>
      </c>
    </row>
    <row r="325" spans="2:6" x14ac:dyDescent="0.3">
      <c r="B325">
        <v>0.32</v>
      </c>
      <c r="C325">
        <v>1.61350374156497</v>
      </c>
      <c r="D325">
        <f t="shared" si="12"/>
        <v>1.6135037415649716</v>
      </c>
      <c r="E325">
        <f t="shared" si="13"/>
        <v>0</v>
      </c>
      <c r="F325">
        <f t="shared" si="14"/>
        <v>0</v>
      </c>
    </row>
    <row r="326" spans="2:6" x14ac:dyDescent="0.3">
      <c r="B326">
        <v>0.32100000000000001</v>
      </c>
      <c r="C326">
        <v>1.6137880273849801</v>
      </c>
      <c r="D326">
        <f t="shared" ref="D326:D389" si="15">completeElliptic1($B326*$B326)</f>
        <v>1.6137880273849887</v>
      </c>
      <c r="E326">
        <f t="shared" ref="E326:E389" si="16">$D326-$C326</f>
        <v>8.659739592076221E-15</v>
      </c>
      <c r="F326">
        <f t="shared" ref="F326:F389" si="17">$D326/$C326-1</f>
        <v>5.3290705182007514E-15</v>
      </c>
    </row>
    <row r="327" spans="2:6" x14ac:dyDescent="0.3">
      <c r="B327">
        <v>0.32200000000000001</v>
      </c>
      <c r="C327">
        <v>1.61407342889808</v>
      </c>
      <c r="D327">
        <f t="shared" si="15"/>
        <v>1.6140734288980809</v>
      </c>
      <c r="E327">
        <f t="shared" si="16"/>
        <v>0</v>
      </c>
      <c r="F327">
        <f t="shared" si="17"/>
        <v>0</v>
      </c>
    </row>
    <row r="328" spans="2:6" x14ac:dyDescent="0.3">
      <c r="B328">
        <v>0.32300000000000001</v>
      </c>
      <c r="C328">
        <v>1.6143599485847699</v>
      </c>
      <c r="D328">
        <f t="shared" si="15"/>
        <v>1.6143599485847755</v>
      </c>
      <c r="E328">
        <f t="shared" si="16"/>
        <v>5.5511151231257827E-15</v>
      </c>
      <c r="F328">
        <f t="shared" si="17"/>
        <v>3.3306690738754696E-15</v>
      </c>
    </row>
    <row r="329" spans="2:6" x14ac:dyDescent="0.3">
      <c r="B329">
        <v>0.32400000000000001</v>
      </c>
      <c r="C329">
        <v>1.6146475889394101</v>
      </c>
      <c r="D329">
        <f t="shared" si="15"/>
        <v>1.6146475889394145</v>
      </c>
      <c r="E329">
        <f t="shared" si="16"/>
        <v>4.4408920985006262E-15</v>
      </c>
      <c r="F329">
        <f t="shared" si="17"/>
        <v>2.6645352591003757E-15</v>
      </c>
    </row>
    <row r="330" spans="2:6" x14ac:dyDescent="0.3">
      <c r="B330">
        <v>0.32500000000000001</v>
      </c>
      <c r="C330">
        <v>1.61493635247023</v>
      </c>
      <c r="D330">
        <f t="shared" si="15"/>
        <v>1.6149363524702327</v>
      </c>
      <c r="E330">
        <f t="shared" si="16"/>
        <v>2.6645352591003757E-15</v>
      </c>
      <c r="F330">
        <f t="shared" si="17"/>
        <v>0</v>
      </c>
    </row>
    <row r="331" spans="2:6" x14ac:dyDescent="0.3">
      <c r="B331">
        <v>0.32600000000000001</v>
      </c>
      <c r="C331">
        <v>1.6152262416994301</v>
      </c>
      <c r="D331">
        <f t="shared" si="15"/>
        <v>1.6152262416994327</v>
      </c>
      <c r="E331">
        <f t="shared" si="16"/>
        <v>2.6645352591003757E-15</v>
      </c>
      <c r="F331">
        <f t="shared" si="17"/>
        <v>0</v>
      </c>
    </row>
    <row r="332" spans="2:6" x14ac:dyDescent="0.3">
      <c r="B332">
        <v>0.32700000000000001</v>
      </c>
      <c r="C332">
        <v>1.6155172591632601</v>
      </c>
      <c r="D332">
        <f t="shared" si="15"/>
        <v>1.6155172591632629</v>
      </c>
      <c r="E332">
        <f t="shared" si="16"/>
        <v>2.886579864025407E-15</v>
      </c>
      <c r="F332">
        <f t="shared" si="17"/>
        <v>1.7763568394002505E-15</v>
      </c>
    </row>
    <row r="333" spans="2:6" x14ac:dyDescent="0.3">
      <c r="B333">
        <v>0.32800000000000001</v>
      </c>
      <c r="C333">
        <v>1.6158094074120899</v>
      </c>
      <c r="D333">
        <f t="shared" si="15"/>
        <v>1.6158094074120934</v>
      </c>
      <c r="E333">
        <f t="shared" si="16"/>
        <v>3.5527136788005009E-15</v>
      </c>
      <c r="F333">
        <f t="shared" si="17"/>
        <v>2.2204460492503131E-15</v>
      </c>
    </row>
    <row r="334" spans="2:6" x14ac:dyDescent="0.3">
      <c r="B334">
        <v>0.32900000000000001</v>
      </c>
      <c r="C334">
        <v>1.6161026890104899</v>
      </c>
      <c r="D334">
        <f t="shared" si="15"/>
        <v>1.6161026890104961</v>
      </c>
      <c r="E334">
        <f t="shared" si="16"/>
        <v>6.2172489379008766E-15</v>
      </c>
      <c r="F334">
        <f t="shared" si="17"/>
        <v>3.7747582837255322E-15</v>
      </c>
    </row>
    <row r="335" spans="2:6" x14ac:dyDescent="0.3">
      <c r="B335">
        <v>0.33</v>
      </c>
      <c r="C335">
        <v>1.6163971065373199</v>
      </c>
      <c r="D335">
        <f t="shared" si="15"/>
        <v>1.6163971065373215</v>
      </c>
      <c r="E335">
        <f t="shared" si="16"/>
        <v>0</v>
      </c>
      <c r="F335">
        <f t="shared" si="17"/>
        <v>0</v>
      </c>
    </row>
    <row r="336" spans="2:6" x14ac:dyDescent="0.3">
      <c r="B336">
        <v>0.33100000000000002</v>
      </c>
      <c r="C336">
        <v>1.61669266258577</v>
      </c>
      <c r="D336">
        <f t="shared" si="15"/>
        <v>1.6166926625857785</v>
      </c>
      <c r="E336">
        <f t="shared" si="16"/>
        <v>8.4376949871511897E-15</v>
      </c>
      <c r="F336">
        <f t="shared" si="17"/>
        <v>5.3290705182007514E-15</v>
      </c>
    </row>
    <row r="337" spans="2:6" x14ac:dyDescent="0.3">
      <c r="B337">
        <v>0.33200000000000002</v>
      </c>
      <c r="C337">
        <v>1.6169893597635101</v>
      </c>
      <c r="D337">
        <f t="shared" si="15"/>
        <v>1.6169893597635157</v>
      </c>
      <c r="E337">
        <f t="shared" si="16"/>
        <v>5.5511151231257827E-15</v>
      </c>
      <c r="F337">
        <f t="shared" si="17"/>
        <v>3.3306690738754696E-15</v>
      </c>
    </row>
    <row r="338" spans="2:6" x14ac:dyDescent="0.3">
      <c r="B338">
        <v>0.33300000000000002</v>
      </c>
      <c r="C338">
        <v>1.6172872006926999</v>
      </c>
      <c r="D338">
        <f t="shared" si="15"/>
        <v>1.6172872006927004</v>
      </c>
      <c r="E338">
        <f t="shared" si="16"/>
        <v>0</v>
      </c>
      <c r="F338">
        <f t="shared" si="17"/>
        <v>0</v>
      </c>
    </row>
    <row r="339" spans="2:6" x14ac:dyDescent="0.3">
      <c r="B339">
        <v>0.33400000000000002</v>
      </c>
      <c r="C339">
        <v>1.6175861880100999</v>
      </c>
      <c r="D339">
        <f t="shared" si="15"/>
        <v>1.6175861880101003</v>
      </c>
      <c r="E339">
        <f t="shared" si="16"/>
        <v>0</v>
      </c>
      <c r="F339">
        <f t="shared" si="17"/>
        <v>0</v>
      </c>
    </row>
    <row r="340" spans="2:6" x14ac:dyDescent="0.3">
      <c r="B340">
        <v>0.33500000000000002</v>
      </c>
      <c r="C340">
        <v>1.61788632436716</v>
      </c>
      <c r="D340">
        <f t="shared" si="15"/>
        <v>1.6178863243671657</v>
      </c>
      <c r="E340">
        <f t="shared" si="16"/>
        <v>5.773159728050814E-15</v>
      </c>
      <c r="F340">
        <f t="shared" si="17"/>
        <v>3.5527136788005009E-15</v>
      </c>
    </row>
    <row r="341" spans="2:6" x14ac:dyDescent="0.3">
      <c r="B341">
        <v>0.33600000000000002</v>
      </c>
      <c r="C341">
        <v>1.61818761243011</v>
      </c>
      <c r="D341">
        <f t="shared" si="15"/>
        <v>1.618187612430112</v>
      </c>
      <c r="E341">
        <f t="shared" si="16"/>
        <v>1.9984014443252818E-15</v>
      </c>
      <c r="F341">
        <f t="shared" si="17"/>
        <v>0</v>
      </c>
    </row>
    <row r="342" spans="2:6" x14ac:dyDescent="0.3">
      <c r="B342">
        <v>0.33700000000000002</v>
      </c>
      <c r="C342">
        <v>1.6184900548800001</v>
      </c>
      <c r="D342">
        <f t="shared" si="15"/>
        <v>1.6184900548800016</v>
      </c>
      <c r="E342">
        <f t="shared" si="16"/>
        <v>0</v>
      </c>
      <c r="F342">
        <f t="shared" si="17"/>
        <v>0</v>
      </c>
    </row>
    <row r="343" spans="2:6" x14ac:dyDescent="0.3">
      <c r="B343">
        <v>0.33800000000000002</v>
      </c>
      <c r="C343">
        <v>1.6187936544128301</v>
      </c>
      <c r="D343">
        <f t="shared" si="15"/>
        <v>1.6187936544128305</v>
      </c>
      <c r="E343">
        <f t="shared" si="16"/>
        <v>0</v>
      </c>
      <c r="F343">
        <f t="shared" si="17"/>
        <v>0</v>
      </c>
    </row>
    <row r="344" spans="2:6" x14ac:dyDescent="0.3">
      <c r="B344">
        <v>0.33900000000000002</v>
      </c>
      <c r="C344">
        <v>1.6190984137396001</v>
      </c>
      <c r="D344">
        <f t="shared" si="15"/>
        <v>1.6190984137396101</v>
      </c>
      <c r="E344">
        <f t="shared" si="16"/>
        <v>9.9920072216264089E-15</v>
      </c>
      <c r="F344">
        <f t="shared" si="17"/>
        <v>6.2172489379008766E-15</v>
      </c>
    </row>
    <row r="345" spans="2:6" x14ac:dyDescent="0.3">
      <c r="B345">
        <v>0.34</v>
      </c>
      <c r="C345">
        <v>1.61940433558645</v>
      </c>
      <c r="D345">
        <f t="shared" si="15"/>
        <v>1.6194043355864536</v>
      </c>
      <c r="E345">
        <f t="shared" si="16"/>
        <v>3.5527136788005009E-15</v>
      </c>
      <c r="F345">
        <f t="shared" si="17"/>
        <v>2.2204460492503131E-15</v>
      </c>
    </row>
    <row r="346" spans="2:6" x14ac:dyDescent="0.3">
      <c r="B346">
        <v>0.34100000000000003</v>
      </c>
      <c r="C346">
        <v>1.6197114226946601</v>
      </c>
      <c r="D346">
        <f t="shared" si="15"/>
        <v>1.6197114226946621</v>
      </c>
      <c r="E346">
        <f t="shared" si="16"/>
        <v>1.9984014443252818E-15</v>
      </c>
      <c r="F346">
        <f t="shared" si="17"/>
        <v>0</v>
      </c>
    </row>
    <row r="347" spans="2:6" x14ac:dyDescent="0.3">
      <c r="B347">
        <v>0.34200000000000003</v>
      </c>
      <c r="C347">
        <v>1.62001967782081</v>
      </c>
      <c r="D347">
        <f t="shared" si="15"/>
        <v>1.6200196778208105</v>
      </c>
      <c r="E347">
        <f t="shared" si="16"/>
        <v>0</v>
      </c>
      <c r="F347">
        <f t="shared" si="17"/>
        <v>0</v>
      </c>
    </row>
    <row r="348" spans="2:6" x14ac:dyDescent="0.3">
      <c r="B348">
        <v>0.34300000000000003</v>
      </c>
      <c r="C348">
        <v>1.6203291037368299</v>
      </c>
      <c r="D348">
        <f t="shared" si="15"/>
        <v>1.620329103736835</v>
      </c>
      <c r="E348">
        <f t="shared" si="16"/>
        <v>5.1070259132757201E-15</v>
      </c>
      <c r="F348">
        <f t="shared" si="17"/>
        <v>3.1086244689504383E-15</v>
      </c>
    </row>
    <row r="349" spans="2:6" x14ac:dyDescent="0.3">
      <c r="B349">
        <v>0.34399999999999997</v>
      </c>
      <c r="C349">
        <v>1.6206397032301201</v>
      </c>
      <c r="D349">
        <f t="shared" si="15"/>
        <v>1.6206397032301219</v>
      </c>
      <c r="E349">
        <f t="shared" si="16"/>
        <v>1.7763568394002505E-15</v>
      </c>
      <c r="F349">
        <f t="shared" si="17"/>
        <v>0</v>
      </c>
    </row>
    <row r="350" spans="2:6" x14ac:dyDescent="0.3">
      <c r="B350">
        <v>0.34499999999999997</v>
      </c>
      <c r="C350">
        <v>1.6209514791035899</v>
      </c>
      <c r="D350">
        <f t="shared" si="15"/>
        <v>1.620951479103595</v>
      </c>
      <c r="E350">
        <f t="shared" si="16"/>
        <v>5.1070259132757201E-15</v>
      </c>
      <c r="F350">
        <f t="shared" si="17"/>
        <v>3.1086244689504383E-15</v>
      </c>
    </row>
    <row r="351" spans="2:6" x14ac:dyDescent="0.3">
      <c r="B351">
        <v>0.34599999999999997</v>
      </c>
      <c r="C351">
        <v>1.6212644341758</v>
      </c>
      <c r="D351">
        <f t="shared" si="15"/>
        <v>1.6212644341758051</v>
      </c>
      <c r="E351">
        <f t="shared" si="16"/>
        <v>5.1070259132757201E-15</v>
      </c>
      <c r="F351">
        <f t="shared" si="17"/>
        <v>3.1086244689504383E-15</v>
      </c>
    </row>
    <row r="352" spans="2:6" x14ac:dyDescent="0.3">
      <c r="B352">
        <v>0.34699999999999998</v>
      </c>
      <c r="C352">
        <v>1.62157857128102</v>
      </c>
      <c r="D352">
        <f t="shared" si="15"/>
        <v>1.6215785712810216</v>
      </c>
      <c r="E352">
        <f t="shared" si="16"/>
        <v>0</v>
      </c>
      <c r="F352">
        <f t="shared" si="17"/>
        <v>0</v>
      </c>
    </row>
    <row r="353" spans="2:6" x14ac:dyDescent="0.3">
      <c r="B353">
        <v>0.34799999999999998</v>
      </c>
      <c r="C353">
        <v>1.6218938932693201</v>
      </c>
      <c r="D353">
        <f t="shared" si="15"/>
        <v>1.6218938932693212</v>
      </c>
      <c r="E353">
        <f t="shared" si="16"/>
        <v>0</v>
      </c>
      <c r="F353">
        <f t="shared" si="17"/>
        <v>0</v>
      </c>
    </row>
    <row r="354" spans="2:6" x14ac:dyDescent="0.3">
      <c r="B354">
        <v>0.34899999999999998</v>
      </c>
      <c r="C354">
        <v>1.62221040300668</v>
      </c>
      <c r="D354">
        <f t="shared" si="15"/>
        <v>1.6222104030066808</v>
      </c>
      <c r="E354">
        <f t="shared" si="16"/>
        <v>0</v>
      </c>
      <c r="F354">
        <f t="shared" si="17"/>
        <v>0</v>
      </c>
    </row>
    <row r="355" spans="2:6" x14ac:dyDescent="0.3">
      <c r="B355">
        <v>0.35</v>
      </c>
      <c r="C355">
        <v>1.62252810337507</v>
      </c>
      <c r="D355">
        <f t="shared" si="15"/>
        <v>1.6225281033750707</v>
      </c>
      <c r="E355">
        <f t="shared" si="16"/>
        <v>0</v>
      </c>
      <c r="F355">
        <f t="shared" si="17"/>
        <v>0</v>
      </c>
    </row>
    <row r="356" spans="2:6" x14ac:dyDescent="0.3">
      <c r="B356">
        <v>0.35099999999999998</v>
      </c>
      <c r="C356">
        <v>1.6228469972725399</v>
      </c>
      <c r="D356">
        <f t="shared" si="15"/>
        <v>1.6228469972725448</v>
      </c>
      <c r="E356">
        <f t="shared" si="16"/>
        <v>4.8849813083506888E-15</v>
      </c>
      <c r="F356">
        <f t="shared" si="17"/>
        <v>3.1086244689504383E-15</v>
      </c>
    </row>
    <row r="357" spans="2:6" x14ac:dyDescent="0.3">
      <c r="B357">
        <v>0.35199999999999998</v>
      </c>
      <c r="C357">
        <v>1.62316708761333</v>
      </c>
      <c r="D357">
        <f t="shared" si="15"/>
        <v>1.6231670876133368</v>
      </c>
      <c r="E357">
        <f t="shared" si="16"/>
        <v>6.8833827526759706E-15</v>
      </c>
      <c r="F357">
        <f t="shared" si="17"/>
        <v>4.2188474935755949E-15</v>
      </c>
    </row>
    <row r="358" spans="2:6" x14ac:dyDescent="0.3">
      <c r="B358">
        <v>0.35299999999999998</v>
      </c>
      <c r="C358">
        <v>1.62348837732795</v>
      </c>
      <c r="D358">
        <f t="shared" si="15"/>
        <v>1.6234883773279545</v>
      </c>
      <c r="E358">
        <f t="shared" si="16"/>
        <v>4.4408920985006262E-15</v>
      </c>
      <c r="F358">
        <f t="shared" si="17"/>
        <v>2.6645352591003757E-15</v>
      </c>
    </row>
    <row r="359" spans="2:6" x14ac:dyDescent="0.3">
      <c r="B359">
        <v>0.35399999999999998</v>
      </c>
      <c r="C359">
        <v>1.62381086936327</v>
      </c>
      <c r="D359">
        <f t="shared" si="15"/>
        <v>1.6238108693632745</v>
      </c>
      <c r="E359">
        <f t="shared" si="16"/>
        <v>4.4408920985006262E-15</v>
      </c>
      <c r="F359">
        <f t="shared" si="17"/>
        <v>2.6645352591003757E-15</v>
      </c>
    </row>
    <row r="360" spans="2:6" x14ac:dyDescent="0.3">
      <c r="B360">
        <v>0.35499999999999998</v>
      </c>
      <c r="C360">
        <v>1.6241345666826299</v>
      </c>
      <c r="D360">
        <f t="shared" si="15"/>
        <v>1.6241345666826374</v>
      </c>
      <c r="E360">
        <f t="shared" si="16"/>
        <v>7.5495165674510645E-15</v>
      </c>
      <c r="F360">
        <f t="shared" si="17"/>
        <v>4.6629367034256575E-15</v>
      </c>
    </row>
    <row r="361" spans="2:6" x14ac:dyDescent="0.3">
      <c r="B361">
        <v>0.35599999999999998</v>
      </c>
      <c r="C361">
        <v>1.62445947226594</v>
      </c>
      <c r="D361">
        <f t="shared" si="15"/>
        <v>1.6244594722659478</v>
      </c>
      <c r="E361">
        <f t="shared" si="16"/>
        <v>7.7715611723760958E-15</v>
      </c>
      <c r="F361">
        <f t="shared" si="17"/>
        <v>4.8849813083506888E-15</v>
      </c>
    </row>
    <row r="362" spans="2:6" x14ac:dyDescent="0.3">
      <c r="B362">
        <v>0.35699999999999998</v>
      </c>
      <c r="C362">
        <v>1.62478558910976</v>
      </c>
      <c r="D362">
        <f t="shared" si="15"/>
        <v>1.6247855891097687</v>
      </c>
      <c r="E362">
        <f t="shared" si="16"/>
        <v>8.659739592076221E-15</v>
      </c>
      <c r="F362">
        <f t="shared" si="17"/>
        <v>5.3290705182007514E-15</v>
      </c>
    </row>
    <row r="363" spans="2:6" x14ac:dyDescent="0.3">
      <c r="B363">
        <v>0.35799999999999998</v>
      </c>
      <c r="C363">
        <v>1.6251129202274199</v>
      </c>
      <c r="D363">
        <f t="shared" si="15"/>
        <v>1.625112920227421</v>
      </c>
      <c r="E363">
        <f t="shared" si="16"/>
        <v>0</v>
      </c>
      <c r="F363">
        <f t="shared" si="17"/>
        <v>0</v>
      </c>
    </row>
    <row r="364" spans="2:6" x14ac:dyDescent="0.3">
      <c r="B364">
        <v>0.35899999999999999</v>
      </c>
      <c r="C364">
        <v>1.6254414686490799</v>
      </c>
      <c r="D364">
        <f t="shared" si="15"/>
        <v>1.6254414686490841</v>
      </c>
      <c r="E364">
        <f t="shared" si="16"/>
        <v>4.2188474935755949E-15</v>
      </c>
      <c r="F364">
        <f t="shared" si="17"/>
        <v>2.6645352591003757E-15</v>
      </c>
    </row>
    <row r="365" spans="2:6" x14ac:dyDescent="0.3">
      <c r="B365">
        <v>0.36</v>
      </c>
      <c r="C365">
        <v>1.62577123742189</v>
      </c>
      <c r="D365">
        <f t="shared" si="15"/>
        <v>1.6257712374218944</v>
      </c>
      <c r="E365">
        <f t="shared" si="16"/>
        <v>4.4408920985006262E-15</v>
      </c>
      <c r="F365">
        <f t="shared" si="17"/>
        <v>2.6645352591003757E-15</v>
      </c>
    </row>
    <row r="366" spans="2:6" x14ac:dyDescent="0.3">
      <c r="B366">
        <v>0.36099999999999999</v>
      </c>
      <c r="C366">
        <v>1.62610222961004</v>
      </c>
      <c r="D366">
        <f t="shared" si="15"/>
        <v>1.6261022296100465</v>
      </c>
      <c r="E366">
        <f t="shared" si="16"/>
        <v>6.4392935428259079E-15</v>
      </c>
      <c r="F366">
        <f t="shared" si="17"/>
        <v>3.9968028886505635E-15</v>
      </c>
    </row>
    <row r="367" spans="2:6" x14ac:dyDescent="0.3">
      <c r="B367">
        <v>0.36199999999999999</v>
      </c>
      <c r="C367">
        <v>1.62643444829489</v>
      </c>
      <c r="D367">
        <f t="shared" si="15"/>
        <v>1.6264344482948956</v>
      </c>
      <c r="E367">
        <f t="shared" si="16"/>
        <v>5.5511151231257827E-15</v>
      </c>
      <c r="F367">
        <f t="shared" si="17"/>
        <v>3.3306690738754696E-15</v>
      </c>
    </row>
    <row r="368" spans="2:6" x14ac:dyDescent="0.3">
      <c r="B368">
        <v>0.36299999999999999</v>
      </c>
      <c r="C368">
        <v>1.6267678965750501</v>
      </c>
      <c r="D368">
        <f t="shared" si="15"/>
        <v>1.6267678965750594</v>
      </c>
      <c r="E368">
        <f t="shared" si="16"/>
        <v>9.3258734068513149E-15</v>
      </c>
      <c r="F368">
        <f t="shared" si="17"/>
        <v>5.773159728050814E-15</v>
      </c>
    </row>
    <row r="369" spans="2:6" x14ac:dyDescent="0.3">
      <c r="B369">
        <v>0.36399999999999999</v>
      </c>
      <c r="C369">
        <v>1.62710257756652</v>
      </c>
      <c r="D369">
        <f t="shared" si="15"/>
        <v>1.627102577566522</v>
      </c>
      <c r="E369">
        <f t="shared" si="16"/>
        <v>1.9984014443252818E-15</v>
      </c>
      <c r="F369">
        <f t="shared" si="17"/>
        <v>0</v>
      </c>
    </row>
    <row r="370" spans="2:6" x14ac:dyDescent="0.3">
      <c r="B370">
        <v>0.36499999999999999</v>
      </c>
      <c r="C370">
        <v>1.62743849440273</v>
      </c>
      <c r="D370">
        <f t="shared" si="15"/>
        <v>1.6274384944027376</v>
      </c>
      <c r="E370">
        <f t="shared" si="16"/>
        <v>7.5495165674510645E-15</v>
      </c>
      <c r="F370">
        <f t="shared" si="17"/>
        <v>4.6629367034256575E-15</v>
      </c>
    </row>
    <row r="371" spans="2:6" x14ac:dyDescent="0.3">
      <c r="B371">
        <v>0.36599999999999999</v>
      </c>
      <c r="C371">
        <v>1.62777565023473</v>
      </c>
      <c r="D371">
        <f t="shared" si="15"/>
        <v>1.6277756502347365</v>
      </c>
      <c r="E371">
        <f t="shared" si="16"/>
        <v>6.4392935428259079E-15</v>
      </c>
      <c r="F371">
        <f t="shared" si="17"/>
        <v>3.9968028886505635E-15</v>
      </c>
    </row>
    <row r="372" spans="2:6" x14ac:dyDescent="0.3">
      <c r="B372">
        <v>0.36699999999999999</v>
      </c>
      <c r="C372">
        <v>1.62811404823122</v>
      </c>
      <c r="D372">
        <f t="shared" si="15"/>
        <v>1.6281140482312297</v>
      </c>
      <c r="E372">
        <f t="shared" si="16"/>
        <v>9.7699626167013776E-15</v>
      </c>
      <c r="F372">
        <f t="shared" si="17"/>
        <v>5.9952043329758453E-15</v>
      </c>
    </row>
    <row r="373" spans="2:6" x14ac:dyDescent="0.3">
      <c r="B373">
        <v>0.36799999999999999</v>
      </c>
      <c r="C373">
        <v>1.62845369157871</v>
      </c>
      <c r="D373">
        <f t="shared" si="15"/>
        <v>1.6284536915787171</v>
      </c>
      <c r="E373">
        <f t="shared" si="16"/>
        <v>7.1054273576010019E-15</v>
      </c>
      <c r="F373">
        <f t="shared" si="17"/>
        <v>4.4408920985006262E-15</v>
      </c>
    </row>
    <row r="374" spans="2:6" x14ac:dyDescent="0.3">
      <c r="B374">
        <v>0.36899999999999999</v>
      </c>
      <c r="C374">
        <v>1.62879458348159</v>
      </c>
      <c r="D374">
        <f t="shared" si="15"/>
        <v>1.6287945834815953</v>
      </c>
      <c r="E374">
        <f t="shared" si="16"/>
        <v>5.3290705182007514E-15</v>
      </c>
      <c r="F374">
        <f t="shared" si="17"/>
        <v>3.3306690738754696E-15</v>
      </c>
    </row>
    <row r="375" spans="2:6" x14ac:dyDescent="0.3">
      <c r="B375">
        <v>0.37</v>
      </c>
      <c r="C375">
        <v>1.6291367271622601</v>
      </c>
      <c r="D375">
        <f t="shared" si="15"/>
        <v>1.6291367271622648</v>
      </c>
      <c r="E375">
        <f t="shared" si="16"/>
        <v>4.6629367034256575E-15</v>
      </c>
      <c r="F375">
        <f t="shared" si="17"/>
        <v>2.886579864025407E-15</v>
      </c>
    </row>
    <row r="376" spans="2:6" x14ac:dyDescent="0.3">
      <c r="B376">
        <v>0.371</v>
      </c>
      <c r="C376">
        <v>1.6294801258612399</v>
      </c>
      <c r="D376">
        <f t="shared" si="15"/>
        <v>1.6294801258612404</v>
      </c>
      <c r="E376">
        <f t="shared" si="16"/>
        <v>0</v>
      </c>
      <c r="F376">
        <f t="shared" si="17"/>
        <v>0</v>
      </c>
    </row>
    <row r="377" spans="2:6" x14ac:dyDescent="0.3">
      <c r="B377">
        <v>0.372</v>
      </c>
      <c r="C377">
        <v>1.6298247828372601</v>
      </c>
      <c r="D377">
        <f t="shared" si="15"/>
        <v>1.6298247828372618</v>
      </c>
      <c r="E377">
        <f t="shared" si="16"/>
        <v>1.7763568394002505E-15</v>
      </c>
      <c r="F377">
        <f t="shared" si="17"/>
        <v>0</v>
      </c>
    </row>
    <row r="378" spans="2:6" x14ac:dyDescent="0.3">
      <c r="B378">
        <v>0.373</v>
      </c>
      <c r="C378">
        <v>1.6301707013674001</v>
      </c>
      <c r="D378">
        <f t="shared" si="15"/>
        <v>1.6301707013674054</v>
      </c>
      <c r="E378">
        <f t="shared" si="16"/>
        <v>5.3290705182007514E-15</v>
      </c>
      <c r="F378">
        <f t="shared" si="17"/>
        <v>3.3306690738754696E-15</v>
      </c>
    </row>
    <row r="379" spans="2:6" x14ac:dyDescent="0.3">
      <c r="B379">
        <v>0.374</v>
      </c>
      <c r="C379">
        <v>1.6305178847471899</v>
      </c>
      <c r="D379">
        <f t="shared" si="15"/>
        <v>1.6305178847471953</v>
      </c>
      <c r="E379">
        <f t="shared" si="16"/>
        <v>5.3290705182007514E-15</v>
      </c>
      <c r="F379">
        <f t="shared" si="17"/>
        <v>3.3306690738754696E-15</v>
      </c>
    </row>
    <row r="380" spans="2:6" x14ac:dyDescent="0.3">
      <c r="B380">
        <v>0.375</v>
      </c>
      <c r="C380">
        <v>1.6308663362907101</v>
      </c>
      <c r="D380">
        <f t="shared" si="15"/>
        <v>1.6308663362907172</v>
      </c>
      <c r="E380">
        <f t="shared" si="16"/>
        <v>7.1054273576010019E-15</v>
      </c>
      <c r="F380">
        <f t="shared" si="17"/>
        <v>4.4408920985006262E-15</v>
      </c>
    </row>
    <row r="381" spans="2:6" x14ac:dyDescent="0.3">
      <c r="B381">
        <v>0.376</v>
      </c>
      <c r="C381">
        <v>1.6312160593307301</v>
      </c>
      <c r="D381">
        <f t="shared" si="15"/>
        <v>1.6312160593307325</v>
      </c>
      <c r="E381">
        <f t="shared" si="16"/>
        <v>2.4424906541753444E-15</v>
      </c>
      <c r="F381">
        <f t="shared" si="17"/>
        <v>0</v>
      </c>
    </row>
    <row r="382" spans="2:6" x14ac:dyDescent="0.3">
      <c r="B382">
        <v>0.377</v>
      </c>
      <c r="C382">
        <v>1.6315670572187899</v>
      </c>
      <c r="D382">
        <f t="shared" si="15"/>
        <v>1.6315670572187944</v>
      </c>
      <c r="E382">
        <f t="shared" si="16"/>
        <v>4.4408920985006262E-15</v>
      </c>
      <c r="F382">
        <f t="shared" si="17"/>
        <v>2.6645352591003757E-15</v>
      </c>
    </row>
    <row r="383" spans="2:6" x14ac:dyDescent="0.3">
      <c r="B383">
        <v>0.378</v>
      </c>
      <c r="C383">
        <v>1.6319193333253601</v>
      </c>
      <c r="D383">
        <f t="shared" si="15"/>
        <v>1.6319193333253614</v>
      </c>
      <c r="E383">
        <f t="shared" si="16"/>
        <v>0</v>
      </c>
      <c r="F383">
        <f t="shared" si="17"/>
        <v>0</v>
      </c>
    </row>
    <row r="384" spans="2:6" x14ac:dyDescent="0.3">
      <c r="B384">
        <v>0.379</v>
      </c>
      <c r="C384">
        <v>1.63227289103991</v>
      </c>
      <c r="D384">
        <f t="shared" si="15"/>
        <v>1.6322728910399176</v>
      </c>
      <c r="E384">
        <f t="shared" si="16"/>
        <v>7.5495165674510645E-15</v>
      </c>
      <c r="F384">
        <f t="shared" si="17"/>
        <v>4.6629367034256575E-15</v>
      </c>
    </row>
    <row r="385" spans="2:6" x14ac:dyDescent="0.3">
      <c r="B385">
        <v>0.38</v>
      </c>
      <c r="C385">
        <v>1.6326277337710799</v>
      </c>
      <c r="D385">
        <f t="shared" si="15"/>
        <v>1.6326277337710873</v>
      </c>
      <c r="E385">
        <f t="shared" si="16"/>
        <v>7.3274719625260332E-15</v>
      </c>
      <c r="F385">
        <f t="shared" si="17"/>
        <v>4.4408920985006262E-15</v>
      </c>
    </row>
    <row r="386" spans="2:6" x14ac:dyDescent="0.3">
      <c r="B386">
        <v>0.38100000000000001</v>
      </c>
      <c r="C386">
        <v>1.6329838649467501</v>
      </c>
      <c r="D386">
        <f t="shared" si="15"/>
        <v>1.6329838649467574</v>
      </c>
      <c r="E386">
        <f t="shared" si="16"/>
        <v>7.3274719625260332E-15</v>
      </c>
      <c r="F386">
        <f t="shared" si="17"/>
        <v>4.4408920985006262E-15</v>
      </c>
    </row>
    <row r="387" spans="2:6" x14ac:dyDescent="0.3">
      <c r="B387">
        <v>0.38200000000000001</v>
      </c>
      <c r="C387">
        <v>1.63334128801419</v>
      </c>
      <c r="D387">
        <f t="shared" si="15"/>
        <v>1.6333412880141949</v>
      </c>
      <c r="E387">
        <f t="shared" si="16"/>
        <v>4.8849813083506888E-15</v>
      </c>
      <c r="F387">
        <f t="shared" si="17"/>
        <v>2.886579864025407E-15</v>
      </c>
    </row>
    <row r="388" spans="2:6" x14ac:dyDescent="0.3">
      <c r="B388">
        <v>0.38300000000000001</v>
      </c>
      <c r="C388">
        <v>1.6337000064401599</v>
      </c>
      <c r="D388">
        <f t="shared" si="15"/>
        <v>1.6337000064401692</v>
      </c>
      <c r="E388">
        <f t="shared" si="16"/>
        <v>9.3258734068513149E-15</v>
      </c>
      <c r="F388">
        <f t="shared" si="17"/>
        <v>5.773159728050814E-15</v>
      </c>
    </row>
    <row r="389" spans="2:6" x14ac:dyDescent="0.3">
      <c r="B389">
        <v>0.38400000000000001</v>
      </c>
      <c r="C389">
        <v>1.6340600237110701</v>
      </c>
      <c r="D389">
        <f t="shared" si="15"/>
        <v>1.6340600237110732</v>
      </c>
      <c r="E389">
        <f t="shared" si="16"/>
        <v>3.1086244689504383E-15</v>
      </c>
      <c r="F389">
        <f t="shared" si="17"/>
        <v>1.9984014443252818E-15</v>
      </c>
    </row>
    <row r="390" spans="2:6" x14ac:dyDescent="0.3">
      <c r="B390">
        <v>0.38500000000000001</v>
      </c>
      <c r="C390">
        <v>1.6344213433330399</v>
      </c>
      <c r="D390">
        <f t="shared" ref="D390:D453" si="18">completeElliptic1($B390*$B390)</f>
        <v>1.6344213433330477</v>
      </c>
      <c r="E390">
        <f t="shared" ref="E390:E453" si="19">$D390-$C390</f>
        <v>7.7715611723760958E-15</v>
      </c>
      <c r="F390">
        <f t="shared" ref="F390:F453" si="20">$D390/$C390-1</f>
        <v>4.6629367034256575E-15</v>
      </c>
    </row>
    <row r="391" spans="2:6" x14ac:dyDescent="0.3">
      <c r="B391">
        <v>0.38600000000000001</v>
      </c>
      <c r="C391">
        <v>1.6347839688321</v>
      </c>
      <c r="D391">
        <f t="shared" si="18"/>
        <v>1.6347839688321035</v>
      </c>
      <c r="E391">
        <f t="shared" si="19"/>
        <v>3.5527136788005009E-15</v>
      </c>
      <c r="F391">
        <f t="shared" si="20"/>
        <v>2.2204460492503131E-15</v>
      </c>
    </row>
    <row r="392" spans="2:6" x14ac:dyDescent="0.3">
      <c r="B392">
        <v>0.38700000000000001</v>
      </c>
      <c r="C392">
        <v>1.63514790375424</v>
      </c>
      <c r="D392">
        <f t="shared" si="18"/>
        <v>1.6351479037542491</v>
      </c>
      <c r="E392">
        <f t="shared" si="19"/>
        <v>9.1038288019262836E-15</v>
      </c>
      <c r="F392">
        <f t="shared" si="20"/>
        <v>5.5511151231257827E-15</v>
      </c>
    </row>
    <row r="393" spans="2:6" x14ac:dyDescent="0.3">
      <c r="B393">
        <v>0.38800000000000001</v>
      </c>
      <c r="C393">
        <v>1.6355131516656101</v>
      </c>
      <c r="D393">
        <f t="shared" si="18"/>
        <v>1.6355131516656145</v>
      </c>
      <c r="E393">
        <f t="shared" si="19"/>
        <v>4.4408920985006262E-15</v>
      </c>
      <c r="F393">
        <f t="shared" si="20"/>
        <v>2.6645352591003757E-15</v>
      </c>
    </row>
    <row r="394" spans="2:6" x14ac:dyDescent="0.3">
      <c r="B394">
        <v>0.38900000000000001</v>
      </c>
      <c r="C394">
        <v>1.63587971615257</v>
      </c>
      <c r="D394">
        <f t="shared" si="18"/>
        <v>1.63587971615258</v>
      </c>
      <c r="E394">
        <f t="shared" si="19"/>
        <v>9.9920072216264089E-15</v>
      </c>
      <c r="F394">
        <f t="shared" si="20"/>
        <v>6.2172489379008766E-15</v>
      </c>
    </row>
    <row r="395" spans="2:6" x14ac:dyDescent="0.3">
      <c r="B395">
        <v>0.39</v>
      </c>
      <c r="C395">
        <v>1.6362476008219</v>
      </c>
      <c r="D395">
        <f t="shared" si="18"/>
        <v>1.6362476008219033</v>
      </c>
      <c r="E395">
        <f t="shared" si="19"/>
        <v>3.3306690738754696E-15</v>
      </c>
      <c r="F395">
        <f t="shared" si="20"/>
        <v>1.9984014443252818E-15</v>
      </c>
    </row>
    <row r="396" spans="2:6" x14ac:dyDescent="0.3">
      <c r="B396">
        <v>0.39100000000000001</v>
      </c>
      <c r="C396">
        <v>1.63661680930085</v>
      </c>
      <c r="D396">
        <f t="shared" si="18"/>
        <v>1.6366168093008511</v>
      </c>
      <c r="E396">
        <f t="shared" si="19"/>
        <v>0</v>
      </c>
      <c r="F396">
        <f t="shared" si="20"/>
        <v>0</v>
      </c>
    </row>
    <row r="397" spans="2:6" x14ac:dyDescent="0.3">
      <c r="B397">
        <v>0.39200000000000002</v>
      </c>
      <c r="C397">
        <v>1.63698734523732</v>
      </c>
      <c r="D397">
        <f t="shared" si="18"/>
        <v>1.6369873452373267</v>
      </c>
      <c r="E397">
        <f t="shared" si="19"/>
        <v>6.6613381477509392E-15</v>
      </c>
      <c r="F397">
        <f t="shared" si="20"/>
        <v>3.9968028886505635E-15</v>
      </c>
    </row>
    <row r="398" spans="2:6" x14ac:dyDescent="0.3">
      <c r="B398">
        <v>0.39300000000000002</v>
      </c>
      <c r="C398">
        <v>1.6373592123</v>
      </c>
      <c r="D398">
        <f t="shared" si="18"/>
        <v>1.6373592123000045</v>
      </c>
      <c r="E398">
        <f t="shared" si="19"/>
        <v>4.4408920985006262E-15</v>
      </c>
      <c r="F398">
        <f t="shared" si="20"/>
        <v>2.6645352591003757E-15</v>
      </c>
    </row>
    <row r="399" spans="2:6" x14ac:dyDescent="0.3">
      <c r="B399">
        <v>0.39400000000000002</v>
      </c>
      <c r="C399">
        <v>1.6377324141784599</v>
      </c>
      <c r="D399">
        <f t="shared" si="18"/>
        <v>1.6377324141784599</v>
      </c>
      <c r="E399">
        <f t="shared" si="19"/>
        <v>0</v>
      </c>
      <c r="F399">
        <f t="shared" si="20"/>
        <v>0</v>
      </c>
    </row>
    <row r="400" spans="2:6" x14ac:dyDescent="0.3">
      <c r="B400">
        <v>0.39500000000000002</v>
      </c>
      <c r="C400">
        <v>1.6381069545833</v>
      </c>
      <c r="D400">
        <f t="shared" si="18"/>
        <v>1.6381069545833062</v>
      </c>
      <c r="E400">
        <f t="shared" si="19"/>
        <v>6.2172489379008766E-15</v>
      </c>
      <c r="F400">
        <f t="shared" si="20"/>
        <v>3.7747582837255322E-15</v>
      </c>
    </row>
    <row r="401" spans="2:6" x14ac:dyDescent="0.3">
      <c r="B401">
        <v>0.39600000000000002</v>
      </c>
      <c r="C401">
        <v>1.63848283724632</v>
      </c>
      <c r="D401">
        <f t="shared" si="18"/>
        <v>1.6384828372463278</v>
      </c>
      <c r="E401">
        <f t="shared" si="19"/>
        <v>7.7715611723760958E-15</v>
      </c>
      <c r="F401">
        <f t="shared" si="20"/>
        <v>4.6629367034256575E-15</v>
      </c>
    </row>
    <row r="402" spans="2:6" x14ac:dyDescent="0.3">
      <c r="B402">
        <v>0.39700000000000002</v>
      </c>
      <c r="C402">
        <v>1.6388600659206101</v>
      </c>
      <c r="D402">
        <f t="shared" si="18"/>
        <v>1.6388600659206161</v>
      </c>
      <c r="E402">
        <f t="shared" si="19"/>
        <v>5.9952043329758453E-15</v>
      </c>
      <c r="F402">
        <f t="shared" si="20"/>
        <v>3.5527136788005009E-15</v>
      </c>
    </row>
    <row r="403" spans="2:6" x14ac:dyDescent="0.3">
      <c r="B403">
        <v>0.39800000000000002</v>
      </c>
      <c r="C403">
        <v>1.6392386443807001</v>
      </c>
      <c r="D403">
        <f t="shared" si="18"/>
        <v>1.6392386443807085</v>
      </c>
      <c r="E403">
        <f t="shared" si="19"/>
        <v>8.4376949871511897E-15</v>
      </c>
      <c r="F403">
        <f t="shared" si="20"/>
        <v>5.1070259132757201E-15</v>
      </c>
    </row>
    <row r="404" spans="2:6" x14ac:dyDescent="0.3">
      <c r="B404">
        <v>0.39900000000000002</v>
      </c>
      <c r="C404">
        <v>1.63961857642272</v>
      </c>
      <c r="D404">
        <f t="shared" si="18"/>
        <v>1.6396185764227256</v>
      </c>
      <c r="E404">
        <f t="shared" si="19"/>
        <v>5.5511151231257827E-15</v>
      </c>
      <c r="F404">
        <f t="shared" si="20"/>
        <v>3.3306690738754696E-15</v>
      </c>
    </row>
    <row r="405" spans="2:6" x14ac:dyDescent="0.3">
      <c r="B405">
        <v>0.4</v>
      </c>
      <c r="C405">
        <v>1.6399998658645101</v>
      </c>
      <c r="D405">
        <f t="shared" si="18"/>
        <v>1.639999865864511</v>
      </c>
      <c r="E405">
        <f t="shared" si="19"/>
        <v>0</v>
      </c>
      <c r="F405">
        <f t="shared" si="20"/>
        <v>0</v>
      </c>
    </row>
    <row r="406" spans="2:6" x14ac:dyDescent="0.3">
      <c r="B406">
        <v>0.40100000000000002</v>
      </c>
      <c r="C406">
        <v>1.6403825165457699</v>
      </c>
      <c r="D406">
        <f t="shared" si="18"/>
        <v>1.6403825165457737</v>
      </c>
      <c r="E406">
        <f t="shared" si="19"/>
        <v>3.7747582837255322E-15</v>
      </c>
      <c r="F406">
        <f t="shared" si="20"/>
        <v>2.2204460492503131E-15</v>
      </c>
    </row>
    <row r="407" spans="2:6" x14ac:dyDescent="0.3">
      <c r="B407">
        <v>0.40200000000000002</v>
      </c>
      <c r="C407">
        <v>1.6407665323282199</v>
      </c>
      <c r="D407">
        <f t="shared" si="18"/>
        <v>1.6407665323282281</v>
      </c>
      <c r="E407">
        <f t="shared" si="19"/>
        <v>8.2156503822261584E-15</v>
      </c>
      <c r="F407">
        <f t="shared" si="20"/>
        <v>5.1070259132757201E-15</v>
      </c>
    </row>
    <row r="408" spans="2:6" x14ac:dyDescent="0.3">
      <c r="B408">
        <v>0.40300000000000002</v>
      </c>
      <c r="C408">
        <v>1.6411519170957301</v>
      </c>
      <c r="D408">
        <f t="shared" si="18"/>
        <v>1.6411519170957387</v>
      </c>
      <c r="E408">
        <f t="shared" si="19"/>
        <v>8.659739592076221E-15</v>
      </c>
      <c r="F408">
        <f t="shared" si="20"/>
        <v>5.3290705182007514E-15</v>
      </c>
    </row>
    <row r="409" spans="2:6" x14ac:dyDescent="0.3">
      <c r="B409">
        <v>0.40400000000000003</v>
      </c>
      <c r="C409">
        <v>1.64153867475446</v>
      </c>
      <c r="D409">
        <f t="shared" si="18"/>
        <v>1.6415386747544651</v>
      </c>
      <c r="E409">
        <f t="shared" si="19"/>
        <v>5.1070259132757201E-15</v>
      </c>
      <c r="F409">
        <f t="shared" si="20"/>
        <v>3.1086244689504383E-15</v>
      </c>
    </row>
    <row r="410" spans="2:6" x14ac:dyDescent="0.3">
      <c r="B410">
        <v>0.40500000000000003</v>
      </c>
      <c r="C410">
        <v>1.6419268092329999</v>
      </c>
      <c r="D410">
        <f t="shared" si="18"/>
        <v>1.6419268092330064</v>
      </c>
      <c r="E410">
        <f t="shared" si="19"/>
        <v>6.4392935428259079E-15</v>
      </c>
      <c r="F410">
        <f t="shared" si="20"/>
        <v>3.9968028886505635E-15</v>
      </c>
    </row>
    <row r="411" spans="2:6" x14ac:dyDescent="0.3">
      <c r="B411">
        <v>0.40600000000000003</v>
      </c>
      <c r="C411">
        <v>1.64231632448255</v>
      </c>
      <c r="D411">
        <f t="shared" si="18"/>
        <v>1.6423163244825498</v>
      </c>
      <c r="E411">
        <f t="shared" si="19"/>
        <v>0</v>
      </c>
      <c r="F411">
        <f t="shared" si="20"/>
        <v>0</v>
      </c>
    </row>
    <row r="412" spans="2:6" x14ac:dyDescent="0.3">
      <c r="B412">
        <v>0.40699999999999997</v>
      </c>
      <c r="C412">
        <v>1.64270722447701</v>
      </c>
      <c r="D412">
        <f t="shared" si="18"/>
        <v>1.6427072244770184</v>
      </c>
      <c r="E412">
        <f t="shared" si="19"/>
        <v>8.4376949871511897E-15</v>
      </c>
      <c r="F412">
        <f t="shared" si="20"/>
        <v>5.1070259132757201E-15</v>
      </c>
    </row>
    <row r="413" spans="2:6" x14ac:dyDescent="0.3">
      <c r="B413">
        <v>0.40799999999999997</v>
      </c>
      <c r="C413">
        <v>1.64309951321322</v>
      </c>
      <c r="D413">
        <f t="shared" si="18"/>
        <v>1.6430995132132207</v>
      </c>
      <c r="E413">
        <f t="shared" si="19"/>
        <v>0</v>
      </c>
      <c r="F413">
        <f t="shared" si="20"/>
        <v>0</v>
      </c>
    </row>
    <row r="414" spans="2:6" x14ac:dyDescent="0.3">
      <c r="B414">
        <v>0.40899999999999997</v>
      </c>
      <c r="C414">
        <v>1.6434931947110001</v>
      </c>
      <c r="D414">
        <f t="shared" si="18"/>
        <v>1.6434931947110016</v>
      </c>
      <c r="E414">
        <f t="shared" si="19"/>
        <v>0</v>
      </c>
      <c r="F414">
        <f t="shared" si="20"/>
        <v>0</v>
      </c>
    </row>
    <row r="415" spans="2:6" x14ac:dyDescent="0.3">
      <c r="B415">
        <v>0.41</v>
      </c>
      <c r="C415">
        <v>1.6438882730133899</v>
      </c>
      <c r="D415">
        <f t="shared" si="18"/>
        <v>1.6438882730133957</v>
      </c>
      <c r="E415">
        <f t="shared" si="19"/>
        <v>5.773159728050814E-15</v>
      </c>
      <c r="F415">
        <f t="shared" si="20"/>
        <v>3.5527136788005009E-15</v>
      </c>
    </row>
    <row r="416" spans="2:6" x14ac:dyDescent="0.3">
      <c r="B416">
        <v>0.41099999999999998</v>
      </c>
      <c r="C416">
        <v>1.6442847521867701</v>
      </c>
      <c r="D416">
        <f t="shared" si="18"/>
        <v>1.6442847521867796</v>
      </c>
      <c r="E416">
        <f t="shared" si="19"/>
        <v>9.5479180117763462E-15</v>
      </c>
      <c r="F416">
        <f t="shared" si="20"/>
        <v>5.773159728050814E-15</v>
      </c>
    </row>
    <row r="417" spans="2:6" x14ac:dyDescent="0.3">
      <c r="B417">
        <v>0.41199999999999998</v>
      </c>
      <c r="C417">
        <v>1.6446826363210201</v>
      </c>
      <c r="D417">
        <f t="shared" si="18"/>
        <v>1.6446826363210281</v>
      </c>
      <c r="E417">
        <f t="shared" si="19"/>
        <v>7.9936057773011271E-15</v>
      </c>
      <c r="F417">
        <f t="shared" si="20"/>
        <v>4.8849813083506888E-15</v>
      </c>
    </row>
    <row r="418" spans="2:6" x14ac:dyDescent="0.3">
      <c r="B418">
        <v>0.41299999999999998</v>
      </c>
      <c r="C418">
        <v>1.6450819295296599</v>
      </c>
      <c r="D418">
        <f t="shared" si="18"/>
        <v>1.645081929529669</v>
      </c>
      <c r="E418">
        <f t="shared" si="19"/>
        <v>9.1038288019262836E-15</v>
      </c>
      <c r="F418">
        <f t="shared" si="20"/>
        <v>5.5511151231257827E-15</v>
      </c>
    </row>
    <row r="419" spans="2:6" x14ac:dyDescent="0.3">
      <c r="B419">
        <v>0.41399999999999998</v>
      </c>
      <c r="C419">
        <v>1.6454826359500401</v>
      </c>
      <c r="D419">
        <f t="shared" si="18"/>
        <v>1.645482635950043</v>
      </c>
      <c r="E419">
        <f t="shared" si="19"/>
        <v>2.886579864025407E-15</v>
      </c>
      <c r="F419">
        <f t="shared" si="20"/>
        <v>1.7763568394002505E-15</v>
      </c>
    </row>
    <row r="420" spans="2:6" x14ac:dyDescent="0.3">
      <c r="B420">
        <v>0.41499999999999998</v>
      </c>
      <c r="C420">
        <v>1.64588475974346</v>
      </c>
      <c r="D420">
        <f t="shared" si="18"/>
        <v>1.6458847597434612</v>
      </c>
      <c r="E420">
        <f t="shared" si="19"/>
        <v>0</v>
      </c>
      <c r="F420">
        <f t="shared" si="20"/>
        <v>0</v>
      </c>
    </row>
    <row r="421" spans="2:6" x14ac:dyDescent="0.3">
      <c r="B421">
        <v>0.41599999999999998</v>
      </c>
      <c r="C421">
        <v>1.6462883050953601</v>
      </c>
      <c r="D421">
        <f t="shared" si="18"/>
        <v>1.6462883050953654</v>
      </c>
      <c r="E421">
        <f t="shared" si="19"/>
        <v>5.3290705182007514E-15</v>
      </c>
      <c r="F421">
        <f t="shared" si="20"/>
        <v>3.3306690738754696E-15</v>
      </c>
    </row>
    <row r="422" spans="2:6" x14ac:dyDescent="0.3">
      <c r="B422">
        <v>0.41699999999999998</v>
      </c>
      <c r="C422">
        <v>1.64669327621549</v>
      </c>
      <c r="D422">
        <f t="shared" si="18"/>
        <v>1.6466932762154913</v>
      </c>
      <c r="E422">
        <f t="shared" si="19"/>
        <v>0</v>
      </c>
      <c r="F422">
        <f t="shared" si="20"/>
        <v>0</v>
      </c>
    </row>
    <row r="423" spans="2:6" x14ac:dyDescent="0.3">
      <c r="B423">
        <v>0.41799999999999998</v>
      </c>
      <c r="C423">
        <v>1.64709967733803</v>
      </c>
      <c r="D423">
        <f t="shared" si="18"/>
        <v>1.6470996773380318</v>
      </c>
      <c r="E423">
        <f t="shared" si="19"/>
        <v>1.7763568394002505E-15</v>
      </c>
      <c r="F423">
        <f t="shared" si="20"/>
        <v>0</v>
      </c>
    </row>
    <row r="424" spans="2:6" x14ac:dyDescent="0.3">
      <c r="B424">
        <v>0.41899999999999998</v>
      </c>
      <c r="C424">
        <v>1.6475075127218</v>
      </c>
      <c r="D424">
        <f t="shared" si="18"/>
        <v>1.6475075127217997</v>
      </c>
      <c r="E424">
        <f t="shared" si="19"/>
        <v>0</v>
      </c>
      <c r="F424">
        <f t="shared" si="20"/>
        <v>0</v>
      </c>
    </row>
    <row r="425" spans="2:6" x14ac:dyDescent="0.3">
      <c r="B425">
        <v>0.42</v>
      </c>
      <c r="C425">
        <v>1.6479167866503901</v>
      </c>
      <c r="D425">
        <f t="shared" si="18"/>
        <v>1.647916786650397</v>
      </c>
      <c r="E425">
        <f t="shared" si="19"/>
        <v>6.8833827526759706E-15</v>
      </c>
      <c r="F425">
        <f t="shared" si="20"/>
        <v>4.2188474935755949E-15</v>
      </c>
    </row>
    <row r="426" spans="2:6" x14ac:dyDescent="0.3">
      <c r="B426">
        <v>0.42099999999999999</v>
      </c>
      <c r="C426">
        <v>1.6483275034323801</v>
      </c>
      <c r="D426">
        <f t="shared" si="18"/>
        <v>1.6483275034323803</v>
      </c>
      <c r="E426">
        <f t="shared" si="19"/>
        <v>0</v>
      </c>
      <c r="F426">
        <f t="shared" si="20"/>
        <v>0</v>
      </c>
    </row>
    <row r="427" spans="2:6" x14ac:dyDescent="0.3">
      <c r="B427">
        <v>0.42199999999999999</v>
      </c>
      <c r="C427">
        <v>1.6487396674014301</v>
      </c>
      <c r="D427">
        <f t="shared" si="18"/>
        <v>1.6487396674014307</v>
      </c>
      <c r="E427">
        <f t="shared" si="19"/>
        <v>0</v>
      </c>
      <c r="F427">
        <f t="shared" si="20"/>
        <v>0</v>
      </c>
    </row>
    <row r="428" spans="2:6" x14ac:dyDescent="0.3">
      <c r="B428">
        <v>0.42299999999999999</v>
      </c>
      <c r="C428">
        <v>1.6491532829165201</v>
      </c>
      <c r="D428">
        <f t="shared" si="18"/>
        <v>1.649153282916525</v>
      </c>
      <c r="E428">
        <f t="shared" si="19"/>
        <v>4.8849813083506888E-15</v>
      </c>
      <c r="F428">
        <f t="shared" si="20"/>
        <v>2.886579864025407E-15</v>
      </c>
    </row>
    <row r="429" spans="2:6" x14ac:dyDescent="0.3">
      <c r="B429">
        <v>0.42399999999999999</v>
      </c>
      <c r="C429">
        <v>1.6495683543621</v>
      </c>
      <c r="D429">
        <f t="shared" si="18"/>
        <v>1.6495683543621078</v>
      </c>
      <c r="E429">
        <f t="shared" si="19"/>
        <v>7.7715611723760958E-15</v>
      </c>
      <c r="F429">
        <f t="shared" si="20"/>
        <v>4.6629367034256575E-15</v>
      </c>
    </row>
    <row r="430" spans="2:6" x14ac:dyDescent="0.3">
      <c r="B430">
        <v>0.42499999999999999</v>
      </c>
      <c r="C430">
        <v>1.64998488614826</v>
      </c>
      <c r="D430">
        <f t="shared" si="18"/>
        <v>1.6499848861482644</v>
      </c>
      <c r="E430">
        <f t="shared" si="19"/>
        <v>4.4408920985006262E-15</v>
      </c>
      <c r="F430">
        <f t="shared" si="20"/>
        <v>2.6645352591003757E-15</v>
      </c>
    </row>
    <row r="431" spans="2:6" x14ac:dyDescent="0.3">
      <c r="B431">
        <v>0.42599999999999999</v>
      </c>
      <c r="C431">
        <v>1.6504028827108901</v>
      </c>
      <c r="D431">
        <f t="shared" si="18"/>
        <v>1.6504028827108972</v>
      </c>
      <c r="E431">
        <f t="shared" si="19"/>
        <v>7.1054273576010019E-15</v>
      </c>
      <c r="F431">
        <f t="shared" si="20"/>
        <v>4.2188474935755949E-15</v>
      </c>
    </row>
    <row r="432" spans="2:6" x14ac:dyDescent="0.3">
      <c r="B432">
        <v>0.42699999999999999</v>
      </c>
      <c r="C432">
        <v>1.6508223485119</v>
      </c>
      <c r="D432">
        <f t="shared" si="18"/>
        <v>1.6508223485119022</v>
      </c>
      <c r="E432">
        <f t="shared" si="19"/>
        <v>2.2204460492503131E-15</v>
      </c>
      <c r="F432">
        <f t="shared" si="20"/>
        <v>0</v>
      </c>
    </row>
    <row r="433" spans="2:6" x14ac:dyDescent="0.3">
      <c r="B433">
        <v>0.42799999999999999</v>
      </c>
      <c r="C433">
        <v>1.65124328803934</v>
      </c>
      <c r="D433">
        <f t="shared" si="18"/>
        <v>1.6512432880393473</v>
      </c>
      <c r="E433">
        <f t="shared" si="19"/>
        <v>7.3274719625260332E-15</v>
      </c>
      <c r="F433">
        <f t="shared" si="20"/>
        <v>4.4408920985006262E-15</v>
      </c>
    </row>
    <row r="434" spans="2:6" x14ac:dyDescent="0.3">
      <c r="B434">
        <v>0.42899999999999999</v>
      </c>
      <c r="C434">
        <v>1.65166570580765</v>
      </c>
      <c r="D434">
        <f t="shared" si="18"/>
        <v>1.6516657058076527</v>
      </c>
      <c r="E434">
        <f t="shared" si="19"/>
        <v>2.6645352591003757E-15</v>
      </c>
      <c r="F434">
        <f t="shared" si="20"/>
        <v>0</v>
      </c>
    </row>
    <row r="435" spans="2:6" x14ac:dyDescent="0.3">
      <c r="B435">
        <v>0.43</v>
      </c>
      <c r="C435">
        <v>1.6520896063577699</v>
      </c>
      <c r="D435">
        <f t="shared" si="18"/>
        <v>1.6520896063577721</v>
      </c>
      <c r="E435">
        <f t="shared" si="19"/>
        <v>2.2204460492503131E-15</v>
      </c>
      <c r="F435">
        <f t="shared" si="20"/>
        <v>0</v>
      </c>
    </row>
    <row r="436" spans="2:6" x14ac:dyDescent="0.3">
      <c r="B436">
        <v>0.43099999999999999</v>
      </c>
      <c r="C436">
        <v>1.65251499425737</v>
      </c>
      <c r="D436">
        <f t="shared" si="18"/>
        <v>1.6525149942573769</v>
      </c>
      <c r="E436">
        <f t="shared" si="19"/>
        <v>6.8833827526759706E-15</v>
      </c>
      <c r="F436">
        <f t="shared" si="20"/>
        <v>4.2188474935755949E-15</v>
      </c>
    </row>
    <row r="437" spans="2:6" x14ac:dyDescent="0.3">
      <c r="B437">
        <v>0.432</v>
      </c>
      <c r="C437">
        <v>1.65294187410104</v>
      </c>
      <c r="D437">
        <f t="shared" si="18"/>
        <v>1.6529418741010402</v>
      </c>
      <c r="E437">
        <f t="shared" si="19"/>
        <v>0</v>
      </c>
      <c r="F437">
        <f t="shared" si="20"/>
        <v>0</v>
      </c>
    </row>
    <row r="438" spans="2:6" x14ac:dyDescent="0.3">
      <c r="B438">
        <v>0.433</v>
      </c>
      <c r="C438">
        <v>1.65337025051042</v>
      </c>
      <c r="D438">
        <f t="shared" si="18"/>
        <v>1.653370250510424</v>
      </c>
      <c r="E438">
        <f t="shared" si="19"/>
        <v>3.9968028886505635E-15</v>
      </c>
      <c r="F438">
        <f t="shared" si="20"/>
        <v>2.4424906541753444E-15</v>
      </c>
    </row>
    <row r="439" spans="2:6" x14ac:dyDescent="0.3">
      <c r="B439">
        <v>0.434</v>
      </c>
      <c r="C439">
        <v>1.6538001281344601</v>
      </c>
      <c r="D439">
        <f t="shared" si="18"/>
        <v>1.6538001281344676</v>
      </c>
      <c r="E439">
        <f t="shared" si="19"/>
        <v>7.5495165674510645E-15</v>
      </c>
      <c r="F439">
        <f t="shared" si="20"/>
        <v>4.6629367034256575E-15</v>
      </c>
    </row>
    <row r="440" spans="2:6" x14ac:dyDescent="0.3">
      <c r="B440">
        <v>0.435</v>
      </c>
      <c r="C440">
        <v>1.6542315116495701</v>
      </c>
      <c r="D440">
        <f t="shared" si="18"/>
        <v>1.6542315116495774</v>
      </c>
      <c r="E440">
        <f t="shared" si="19"/>
        <v>7.3274719625260332E-15</v>
      </c>
      <c r="F440">
        <f t="shared" si="20"/>
        <v>4.4408920985006262E-15</v>
      </c>
    </row>
    <row r="441" spans="2:6" x14ac:dyDescent="0.3">
      <c r="B441">
        <v>0.436</v>
      </c>
      <c r="C441">
        <v>1.6546644057598101</v>
      </c>
      <c r="D441">
        <f t="shared" si="18"/>
        <v>1.6546644057598183</v>
      </c>
      <c r="E441">
        <f t="shared" si="19"/>
        <v>8.2156503822261584E-15</v>
      </c>
      <c r="F441">
        <f t="shared" si="20"/>
        <v>4.8849813083506888E-15</v>
      </c>
    </row>
    <row r="442" spans="2:6" x14ac:dyDescent="0.3">
      <c r="B442">
        <v>0.437</v>
      </c>
      <c r="C442">
        <v>1.6550988151971</v>
      </c>
      <c r="D442">
        <f t="shared" si="18"/>
        <v>1.6550988151971084</v>
      </c>
      <c r="E442">
        <f t="shared" si="19"/>
        <v>8.4376949871511897E-15</v>
      </c>
      <c r="F442">
        <f t="shared" si="20"/>
        <v>5.1070259132757201E-15</v>
      </c>
    </row>
    <row r="443" spans="2:6" x14ac:dyDescent="0.3">
      <c r="B443">
        <v>0.438</v>
      </c>
      <c r="C443">
        <v>1.6555347447214099</v>
      </c>
      <c r="D443">
        <f t="shared" si="18"/>
        <v>1.655534744721413</v>
      </c>
      <c r="E443">
        <f t="shared" si="19"/>
        <v>3.1086244689504383E-15</v>
      </c>
      <c r="F443">
        <f t="shared" si="20"/>
        <v>1.7763568394002505E-15</v>
      </c>
    </row>
    <row r="444" spans="2:6" x14ac:dyDescent="0.3">
      <c r="B444">
        <v>0.439</v>
      </c>
      <c r="C444">
        <v>1.65597219912094</v>
      </c>
      <c r="D444">
        <f t="shared" si="18"/>
        <v>1.6559721991209428</v>
      </c>
      <c r="E444">
        <f t="shared" si="19"/>
        <v>2.886579864025407E-15</v>
      </c>
      <c r="F444">
        <f t="shared" si="20"/>
        <v>1.7763568394002505E-15</v>
      </c>
    </row>
    <row r="445" spans="2:6" x14ac:dyDescent="0.3">
      <c r="B445">
        <v>0.44</v>
      </c>
      <c r="C445">
        <v>1.65641118321235</v>
      </c>
      <c r="D445">
        <f t="shared" si="18"/>
        <v>1.6564111832123511</v>
      </c>
      <c r="E445">
        <f t="shared" si="19"/>
        <v>0</v>
      </c>
      <c r="F445">
        <f t="shared" si="20"/>
        <v>0</v>
      </c>
    </row>
    <row r="446" spans="2:6" x14ac:dyDescent="0.3">
      <c r="B446">
        <v>0.441</v>
      </c>
      <c r="C446">
        <v>1.6568517018409299</v>
      </c>
      <c r="D446">
        <f t="shared" si="18"/>
        <v>1.6568517018409363</v>
      </c>
      <c r="E446">
        <f t="shared" si="19"/>
        <v>6.4392935428259079E-15</v>
      </c>
      <c r="F446">
        <f t="shared" si="20"/>
        <v>3.9968028886505635E-15</v>
      </c>
    </row>
    <row r="447" spans="2:6" x14ac:dyDescent="0.3">
      <c r="B447">
        <v>0.442</v>
      </c>
      <c r="C447">
        <v>1.6572937598808399</v>
      </c>
      <c r="D447">
        <f t="shared" si="18"/>
        <v>1.6572937598808435</v>
      </c>
      <c r="E447">
        <f t="shared" si="19"/>
        <v>3.5527136788005009E-15</v>
      </c>
      <c r="F447">
        <f t="shared" si="20"/>
        <v>2.2204460492503131E-15</v>
      </c>
    </row>
    <row r="448" spans="2:6" x14ac:dyDescent="0.3">
      <c r="B448">
        <v>0.443</v>
      </c>
      <c r="C448">
        <v>1.65773736223526</v>
      </c>
      <c r="D448">
        <f t="shared" si="18"/>
        <v>1.6577373622352687</v>
      </c>
      <c r="E448">
        <f t="shared" si="19"/>
        <v>8.659739592076221E-15</v>
      </c>
      <c r="F448">
        <f t="shared" si="20"/>
        <v>5.3290705182007514E-15</v>
      </c>
    </row>
    <row r="449" spans="2:6" x14ac:dyDescent="0.3">
      <c r="B449">
        <v>0.44400000000000001</v>
      </c>
      <c r="C449">
        <v>1.6581825138366599</v>
      </c>
      <c r="D449">
        <f t="shared" si="18"/>
        <v>1.6581825138366653</v>
      </c>
      <c r="E449">
        <f t="shared" si="19"/>
        <v>5.3290705182007514E-15</v>
      </c>
      <c r="F449">
        <f t="shared" si="20"/>
        <v>3.1086244689504383E-15</v>
      </c>
    </row>
    <row r="450" spans="2:6" x14ac:dyDescent="0.3">
      <c r="B450">
        <v>0.44500000000000001</v>
      </c>
      <c r="C450">
        <v>1.6586292196469501</v>
      </c>
      <c r="D450">
        <f t="shared" si="18"/>
        <v>1.6586292196469525</v>
      </c>
      <c r="E450">
        <f t="shared" si="19"/>
        <v>2.4424906541753444E-15</v>
      </c>
      <c r="F450">
        <f t="shared" si="20"/>
        <v>0</v>
      </c>
    </row>
    <row r="451" spans="2:6" x14ac:dyDescent="0.3">
      <c r="B451">
        <v>0.44600000000000001</v>
      </c>
      <c r="C451">
        <v>1.6590774846577201</v>
      </c>
      <c r="D451">
        <f t="shared" si="18"/>
        <v>1.6590774846577248</v>
      </c>
      <c r="E451">
        <f t="shared" si="19"/>
        <v>4.6629367034256575E-15</v>
      </c>
      <c r="F451">
        <f t="shared" si="20"/>
        <v>2.886579864025407E-15</v>
      </c>
    </row>
    <row r="452" spans="2:6" x14ac:dyDescent="0.3">
      <c r="B452">
        <v>0.44700000000000001</v>
      </c>
      <c r="C452">
        <v>1.65952731389046</v>
      </c>
      <c r="D452">
        <f t="shared" si="18"/>
        <v>1.6595273138904643</v>
      </c>
      <c r="E452">
        <f t="shared" si="19"/>
        <v>4.2188474935755949E-15</v>
      </c>
      <c r="F452">
        <f t="shared" si="20"/>
        <v>2.4424906541753444E-15</v>
      </c>
    </row>
    <row r="453" spans="2:6" x14ac:dyDescent="0.3">
      <c r="B453">
        <v>0.44800000000000001</v>
      </c>
      <c r="C453">
        <v>1.65997871239675</v>
      </c>
      <c r="D453">
        <f t="shared" si="18"/>
        <v>1.6599787123967549</v>
      </c>
      <c r="E453">
        <f t="shared" si="19"/>
        <v>4.8849813083506888E-15</v>
      </c>
      <c r="F453">
        <f t="shared" si="20"/>
        <v>2.886579864025407E-15</v>
      </c>
    </row>
    <row r="454" spans="2:6" x14ac:dyDescent="0.3">
      <c r="B454">
        <v>0.44900000000000001</v>
      </c>
      <c r="C454">
        <v>1.6604316852584899</v>
      </c>
      <c r="D454">
        <f t="shared" ref="D454:D517" si="21">completeElliptic1($B454*$B454)</f>
        <v>1.6604316852584973</v>
      </c>
      <c r="E454">
        <f t="shared" ref="E454:E517" si="22">$D454-$C454</f>
        <v>7.3274719625260332E-15</v>
      </c>
      <c r="F454">
        <f t="shared" ref="F454:F517" si="23">$D454/$C454-1</f>
        <v>4.4408920985006262E-15</v>
      </c>
    </row>
    <row r="455" spans="2:6" x14ac:dyDescent="0.3">
      <c r="B455">
        <v>0.45</v>
      </c>
      <c r="C455">
        <v>1.6608862375881199</v>
      </c>
      <c r="D455">
        <f t="shared" si="21"/>
        <v>1.6608862375881286</v>
      </c>
      <c r="E455">
        <f t="shared" si="22"/>
        <v>8.659739592076221E-15</v>
      </c>
      <c r="F455">
        <f t="shared" si="23"/>
        <v>5.1070259132757201E-15</v>
      </c>
    </row>
    <row r="456" spans="2:6" x14ac:dyDescent="0.3">
      <c r="B456">
        <v>0.45100000000000001</v>
      </c>
      <c r="C456">
        <v>1.66134237452884</v>
      </c>
      <c r="D456">
        <f t="shared" si="21"/>
        <v>1.66134237452884</v>
      </c>
      <c r="E456">
        <f t="shared" si="22"/>
        <v>0</v>
      </c>
      <c r="F456">
        <f t="shared" si="23"/>
        <v>0</v>
      </c>
    </row>
    <row r="457" spans="2:6" x14ac:dyDescent="0.3">
      <c r="B457">
        <v>0.45200000000000001</v>
      </c>
      <c r="C457">
        <v>1.6618001012548</v>
      </c>
      <c r="D457">
        <f t="shared" si="21"/>
        <v>1.6618001012548014</v>
      </c>
      <c r="E457">
        <f t="shared" si="22"/>
        <v>0</v>
      </c>
      <c r="F457">
        <f t="shared" si="23"/>
        <v>0</v>
      </c>
    </row>
    <row r="458" spans="2:6" x14ac:dyDescent="0.3">
      <c r="B458">
        <v>0.45300000000000001</v>
      </c>
      <c r="C458">
        <v>1.6622594229713801</v>
      </c>
      <c r="D458">
        <f t="shared" si="21"/>
        <v>1.6622594229713825</v>
      </c>
      <c r="E458">
        <f t="shared" si="22"/>
        <v>2.4424906541753444E-15</v>
      </c>
      <c r="F458">
        <f t="shared" si="23"/>
        <v>0</v>
      </c>
    </row>
    <row r="459" spans="2:6" x14ac:dyDescent="0.3">
      <c r="B459">
        <v>0.45400000000000001</v>
      </c>
      <c r="C459">
        <v>1.66272034491538</v>
      </c>
      <c r="D459">
        <f t="shared" si="21"/>
        <v>1.6627203449153822</v>
      </c>
      <c r="E459">
        <f t="shared" si="22"/>
        <v>2.2204460492503131E-15</v>
      </c>
      <c r="F459">
        <f t="shared" si="23"/>
        <v>0</v>
      </c>
    </row>
    <row r="460" spans="2:6" x14ac:dyDescent="0.3">
      <c r="B460">
        <v>0.45500000000000002</v>
      </c>
      <c r="C460">
        <v>1.66318287235525</v>
      </c>
      <c r="D460">
        <f t="shared" si="21"/>
        <v>1.6631828723552546</v>
      </c>
      <c r="E460">
        <f t="shared" si="22"/>
        <v>4.6629367034256575E-15</v>
      </c>
      <c r="F460">
        <f t="shared" si="23"/>
        <v>2.886579864025407E-15</v>
      </c>
    </row>
    <row r="461" spans="2:6" x14ac:dyDescent="0.3">
      <c r="B461">
        <v>0.45600000000000002</v>
      </c>
      <c r="C461">
        <v>1.6636470105913299</v>
      </c>
      <c r="D461">
        <f t="shared" si="21"/>
        <v>1.6636470105913399</v>
      </c>
      <c r="E461">
        <f t="shared" si="22"/>
        <v>9.9920072216264089E-15</v>
      </c>
      <c r="F461">
        <f t="shared" si="23"/>
        <v>5.9952043329758453E-15</v>
      </c>
    </row>
    <row r="462" spans="2:6" x14ac:dyDescent="0.3">
      <c r="B462">
        <v>0.45700000000000002</v>
      </c>
      <c r="C462">
        <v>1.6641127649560901</v>
      </c>
      <c r="D462">
        <f t="shared" si="21"/>
        <v>1.6641127649560969</v>
      </c>
      <c r="E462">
        <f t="shared" si="22"/>
        <v>6.8833827526759706E-15</v>
      </c>
      <c r="F462">
        <f t="shared" si="23"/>
        <v>4.2188474935755949E-15</v>
      </c>
    </row>
    <row r="463" spans="2:6" x14ac:dyDescent="0.3">
      <c r="B463">
        <v>0.45800000000000002</v>
      </c>
      <c r="C463">
        <v>1.6645801408143299</v>
      </c>
      <c r="D463">
        <f t="shared" si="21"/>
        <v>1.6645801408143397</v>
      </c>
      <c r="E463">
        <f t="shared" si="22"/>
        <v>9.7699626167013776E-15</v>
      </c>
      <c r="F463">
        <f t="shared" si="23"/>
        <v>5.773159728050814E-15</v>
      </c>
    </row>
    <row r="464" spans="2:6" x14ac:dyDescent="0.3">
      <c r="B464">
        <v>0.45900000000000002</v>
      </c>
      <c r="C464">
        <v>1.66504914356347</v>
      </c>
      <c r="D464">
        <f t="shared" si="21"/>
        <v>1.6650491435634709</v>
      </c>
      <c r="E464">
        <f t="shared" si="22"/>
        <v>0</v>
      </c>
      <c r="F464">
        <f t="shared" si="23"/>
        <v>0</v>
      </c>
    </row>
    <row r="465" spans="2:6" x14ac:dyDescent="0.3">
      <c r="B465">
        <v>0.46</v>
      </c>
      <c r="C465">
        <v>1.6655197786337199</v>
      </c>
      <c r="D465">
        <f t="shared" si="21"/>
        <v>1.6655197786337244</v>
      </c>
      <c r="E465">
        <f t="shared" si="22"/>
        <v>4.4408920985006262E-15</v>
      </c>
      <c r="F465">
        <f t="shared" si="23"/>
        <v>2.6645352591003757E-15</v>
      </c>
    </row>
    <row r="466" spans="2:6" x14ac:dyDescent="0.3">
      <c r="B466">
        <v>0.46100000000000002</v>
      </c>
      <c r="C466">
        <v>1.6659920514883999</v>
      </c>
      <c r="D466">
        <f t="shared" si="21"/>
        <v>1.6659920514884048</v>
      </c>
      <c r="E466">
        <f t="shared" si="22"/>
        <v>4.8849813083506888E-15</v>
      </c>
      <c r="F466">
        <f t="shared" si="23"/>
        <v>2.886579864025407E-15</v>
      </c>
    </row>
    <row r="467" spans="2:6" x14ac:dyDescent="0.3">
      <c r="B467">
        <v>0.46200000000000002</v>
      </c>
      <c r="C467">
        <v>1.66646596762413</v>
      </c>
      <c r="D467">
        <f t="shared" si="21"/>
        <v>1.6664659676241325</v>
      </c>
      <c r="E467">
        <f t="shared" si="22"/>
        <v>2.4424906541753444E-15</v>
      </c>
      <c r="F467">
        <f t="shared" si="23"/>
        <v>0</v>
      </c>
    </row>
    <row r="468" spans="2:6" x14ac:dyDescent="0.3">
      <c r="B468">
        <v>0.46300000000000002</v>
      </c>
      <c r="C468">
        <v>1.6669415325710799</v>
      </c>
      <c r="D468">
        <f t="shared" si="21"/>
        <v>1.6669415325710883</v>
      </c>
      <c r="E468">
        <f t="shared" si="22"/>
        <v>8.4376949871511897E-15</v>
      </c>
      <c r="F468">
        <f t="shared" si="23"/>
        <v>5.1070259132757201E-15</v>
      </c>
    </row>
    <row r="469" spans="2:6" x14ac:dyDescent="0.3">
      <c r="B469">
        <v>0.46400000000000002</v>
      </c>
      <c r="C469">
        <v>1.6674187518932599</v>
      </c>
      <c r="D469">
        <f t="shared" si="21"/>
        <v>1.6674187518932631</v>
      </c>
      <c r="E469">
        <f t="shared" si="22"/>
        <v>3.1086244689504383E-15</v>
      </c>
      <c r="F469">
        <f t="shared" si="23"/>
        <v>1.7763568394002505E-15</v>
      </c>
    </row>
    <row r="470" spans="2:6" x14ac:dyDescent="0.3">
      <c r="B470">
        <v>0.46500000000000002</v>
      </c>
      <c r="C470">
        <v>1.6678976311886999</v>
      </c>
      <c r="D470">
        <f t="shared" si="21"/>
        <v>1.6678976311887082</v>
      </c>
      <c r="E470">
        <f t="shared" si="22"/>
        <v>8.2156503822261584E-15</v>
      </c>
      <c r="F470">
        <f t="shared" si="23"/>
        <v>4.8849813083506888E-15</v>
      </c>
    </row>
    <row r="471" spans="2:6" x14ac:dyDescent="0.3">
      <c r="B471">
        <v>0.46600000000000003</v>
      </c>
      <c r="C471">
        <v>1.66837817608978</v>
      </c>
      <c r="D471">
        <f t="shared" si="21"/>
        <v>1.668378176089788</v>
      </c>
      <c r="E471">
        <f t="shared" si="22"/>
        <v>7.9936057773011271E-15</v>
      </c>
      <c r="F471">
        <f t="shared" si="23"/>
        <v>4.8849813083506888E-15</v>
      </c>
    </row>
    <row r="472" spans="2:6" x14ac:dyDescent="0.3">
      <c r="B472">
        <v>0.46700000000000003</v>
      </c>
      <c r="C472">
        <v>1.66886039226343</v>
      </c>
      <c r="D472">
        <f t="shared" si="21"/>
        <v>1.6688603922634369</v>
      </c>
      <c r="E472">
        <f t="shared" si="22"/>
        <v>6.8833827526759706E-15</v>
      </c>
      <c r="F472">
        <f t="shared" si="23"/>
        <v>4.2188474935755949E-15</v>
      </c>
    </row>
    <row r="473" spans="2:6" x14ac:dyDescent="0.3">
      <c r="B473">
        <v>0.46800000000000003</v>
      </c>
      <c r="C473">
        <v>1.66934428541141</v>
      </c>
      <c r="D473">
        <f t="shared" si="21"/>
        <v>1.6693442854114158</v>
      </c>
      <c r="E473">
        <f t="shared" si="22"/>
        <v>5.773159728050814E-15</v>
      </c>
      <c r="F473">
        <f t="shared" si="23"/>
        <v>3.5527136788005009E-15</v>
      </c>
    </row>
    <row r="474" spans="2:6" x14ac:dyDescent="0.3">
      <c r="B474">
        <v>0.46899999999999997</v>
      </c>
      <c r="C474">
        <v>1.66982986127057</v>
      </c>
      <c r="D474">
        <f t="shared" si="21"/>
        <v>1.6698298612705733</v>
      </c>
      <c r="E474">
        <f t="shared" si="22"/>
        <v>3.3306690738754696E-15</v>
      </c>
      <c r="F474">
        <f t="shared" si="23"/>
        <v>1.9984014443252818E-15</v>
      </c>
    </row>
    <row r="475" spans="2:6" x14ac:dyDescent="0.3">
      <c r="B475">
        <v>0.47</v>
      </c>
      <c r="C475">
        <v>1.6703171256131</v>
      </c>
      <c r="D475">
        <f t="shared" si="21"/>
        <v>1.6703171256131093</v>
      </c>
      <c r="E475">
        <f t="shared" si="22"/>
        <v>9.3258734068513149E-15</v>
      </c>
      <c r="F475">
        <f t="shared" si="23"/>
        <v>5.5511151231257827E-15</v>
      </c>
    </row>
    <row r="476" spans="2:6" x14ac:dyDescent="0.3">
      <c r="B476">
        <v>0.47099999999999997</v>
      </c>
      <c r="C476">
        <v>1.67080608424683</v>
      </c>
      <c r="D476">
        <f t="shared" si="21"/>
        <v>1.6708060842468395</v>
      </c>
      <c r="E476">
        <f t="shared" si="22"/>
        <v>9.5479180117763462E-15</v>
      </c>
      <c r="F476">
        <f t="shared" si="23"/>
        <v>5.773159728050814E-15</v>
      </c>
    </row>
    <row r="477" spans="2:6" x14ac:dyDescent="0.3">
      <c r="B477">
        <v>0.47199999999999998</v>
      </c>
      <c r="C477">
        <v>1.6712967430154599</v>
      </c>
      <c r="D477">
        <f t="shared" si="21"/>
        <v>1.6712967430154637</v>
      </c>
      <c r="E477">
        <f t="shared" si="22"/>
        <v>3.7747582837255322E-15</v>
      </c>
      <c r="F477">
        <f t="shared" si="23"/>
        <v>2.2204460492503131E-15</v>
      </c>
    </row>
    <row r="478" spans="2:6" x14ac:dyDescent="0.3">
      <c r="B478">
        <v>0.47299999999999998</v>
      </c>
      <c r="C478">
        <v>1.6717891077988301</v>
      </c>
      <c r="D478">
        <f t="shared" si="21"/>
        <v>1.6717891077988374</v>
      </c>
      <c r="E478">
        <f t="shared" si="22"/>
        <v>7.3274719625260332E-15</v>
      </c>
      <c r="F478">
        <f t="shared" si="23"/>
        <v>4.4408920985006262E-15</v>
      </c>
    </row>
    <row r="479" spans="2:6" x14ac:dyDescent="0.3">
      <c r="B479">
        <v>0.47399999999999998</v>
      </c>
      <c r="C479">
        <v>1.67228318451324</v>
      </c>
      <c r="D479">
        <f t="shared" si="21"/>
        <v>1.6722831845132438</v>
      </c>
      <c r="E479">
        <f t="shared" si="22"/>
        <v>3.7747582837255322E-15</v>
      </c>
      <c r="F479">
        <f t="shared" si="23"/>
        <v>2.2204460492503131E-15</v>
      </c>
    </row>
    <row r="480" spans="2:6" x14ac:dyDescent="0.3">
      <c r="B480">
        <v>0.47499999999999998</v>
      </c>
      <c r="C480">
        <v>1.6727789791116701</v>
      </c>
      <c r="D480">
        <f t="shared" si="21"/>
        <v>1.6727789791116707</v>
      </c>
      <c r="E480">
        <f t="shared" si="22"/>
        <v>0</v>
      </c>
      <c r="F480">
        <f t="shared" si="23"/>
        <v>0</v>
      </c>
    </row>
    <row r="481" spans="2:6" x14ac:dyDescent="0.3">
      <c r="B481">
        <v>0.47599999999999998</v>
      </c>
      <c r="C481">
        <v>1.6732764975840799</v>
      </c>
      <c r="D481">
        <f t="shared" si="21"/>
        <v>1.6732764975840888</v>
      </c>
      <c r="E481">
        <f t="shared" si="22"/>
        <v>8.8817841970012523E-15</v>
      </c>
      <c r="F481">
        <f t="shared" si="23"/>
        <v>5.3290705182007514E-15</v>
      </c>
    </row>
    <row r="482" spans="2:6" x14ac:dyDescent="0.3">
      <c r="B482">
        <v>0.47699999999999998</v>
      </c>
      <c r="C482">
        <v>1.67377574595773</v>
      </c>
      <c r="D482">
        <f t="shared" si="21"/>
        <v>1.6737757459577325</v>
      </c>
      <c r="E482">
        <f t="shared" si="22"/>
        <v>2.4424906541753444E-15</v>
      </c>
      <c r="F482">
        <f t="shared" si="23"/>
        <v>0</v>
      </c>
    </row>
    <row r="483" spans="2:6" x14ac:dyDescent="0.3">
      <c r="B483">
        <v>0.47799999999999998</v>
      </c>
      <c r="C483">
        <v>1.67427673029738</v>
      </c>
      <c r="D483">
        <f t="shared" si="21"/>
        <v>1.6742767302973853</v>
      </c>
      <c r="E483">
        <f t="shared" si="22"/>
        <v>5.3290705182007514E-15</v>
      </c>
      <c r="F483">
        <f t="shared" si="23"/>
        <v>3.1086244689504383E-15</v>
      </c>
    </row>
    <row r="484" spans="2:6" x14ac:dyDescent="0.3">
      <c r="B484">
        <v>0.47899999999999998</v>
      </c>
      <c r="C484">
        <v>1.67477945670566</v>
      </c>
      <c r="D484">
        <f t="shared" si="21"/>
        <v>1.6747794567056655</v>
      </c>
      <c r="E484">
        <f t="shared" si="22"/>
        <v>5.5511151231257827E-15</v>
      </c>
      <c r="F484">
        <f t="shared" si="23"/>
        <v>3.3306690738754696E-15</v>
      </c>
    </row>
    <row r="485" spans="2:6" x14ac:dyDescent="0.3">
      <c r="B485">
        <v>0.48</v>
      </c>
      <c r="C485">
        <v>1.6752839313233101</v>
      </c>
      <c r="D485">
        <f t="shared" si="21"/>
        <v>1.6752839313233157</v>
      </c>
      <c r="E485">
        <f t="shared" si="22"/>
        <v>5.5511151231257827E-15</v>
      </c>
      <c r="F485">
        <f t="shared" si="23"/>
        <v>3.3306690738754696E-15</v>
      </c>
    </row>
    <row r="486" spans="2:6" x14ac:dyDescent="0.3">
      <c r="B486">
        <v>0.48099999999999998</v>
      </c>
      <c r="C486">
        <v>1.67579016032949</v>
      </c>
      <c r="D486">
        <f t="shared" si="21"/>
        <v>1.6757901603294965</v>
      </c>
      <c r="E486">
        <f t="shared" si="22"/>
        <v>6.4392935428259079E-15</v>
      </c>
      <c r="F486">
        <f t="shared" si="23"/>
        <v>3.7747582837255322E-15</v>
      </c>
    </row>
    <row r="487" spans="2:6" x14ac:dyDescent="0.3">
      <c r="B487">
        <v>0.48199999999999998</v>
      </c>
      <c r="C487">
        <v>1.6762981499420799</v>
      </c>
      <c r="D487">
        <f t="shared" si="21"/>
        <v>1.6762981499420806</v>
      </c>
      <c r="E487">
        <f t="shared" si="22"/>
        <v>0</v>
      </c>
      <c r="F487">
        <f t="shared" si="23"/>
        <v>0</v>
      </c>
    </row>
    <row r="488" spans="2:6" x14ac:dyDescent="0.3">
      <c r="B488">
        <v>0.48299999999999998</v>
      </c>
      <c r="C488">
        <v>1.67680790641795</v>
      </c>
      <c r="D488">
        <f t="shared" si="21"/>
        <v>1.6768079064179513</v>
      </c>
      <c r="E488">
        <f t="shared" si="22"/>
        <v>0</v>
      </c>
      <c r="F488">
        <f t="shared" si="23"/>
        <v>0</v>
      </c>
    </row>
    <row r="489" spans="2:6" x14ac:dyDescent="0.3">
      <c r="B489">
        <v>0.48399999999999999</v>
      </c>
      <c r="C489">
        <v>1.6773194360532999</v>
      </c>
      <c r="D489">
        <f t="shared" si="21"/>
        <v>1.6773194360533048</v>
      </c>
      <c r="E489">
        <f t="shared" si="22"/>
        <v>4.8849813083506888E-15</v>
      </c>
      <c r="F489">
        <f t="shared" si="23"/>
        <v>2.886579864025407E-15</v>
      </c>
    </row>
    <row r="490" spans="2:6" x14ac:dyDescent="0.3">
      <c r="B490">
        <v>0.48499999999999999</v>
      </c>
      <c r="C490">
        <v>1.6778327451839501</v>
      </c>
      <c r="D490">
        <f t="shared" si="21"/>
        <v>1.6778327451839528</v>
      </c>
      <c r="E490">
        <f t="shared" si="22"/>
        <v>2.6645352591003757E-15</v>
      </c>
      <c r="F490">
        <f t="shared" si="23"/>
        <v>0</v>
      </c>
    </row>
    <row r="491" spans="2:6" x14ac:dyDescent="0.3">
      <c r="B491">
        <v>0.48599999999999999</v>
      </c>
      <c r="C491">
        <v>1.67834784018563</v>
      </c>
      <c r="D491">
        <f t="shared" si="21"/>
        <v>1.6783478401856307</v>
      </c>
      <c r="E491">
        <f t="shared" si="22"/>
        <v>0</v>
      </c>
      <c r="F491">
        <f t="shared" si="23"/>
        <v>0</v>
      </c>
    </row>
    <row r="492" spans="2:6" x14ac:dyDescent="0.3">
      <c r="B492">
        <v>0.48699999999999999</v>
      </c>
      <c r="C492">
        <v>1.6788647274743</v>
      </c>
      <c r="D492">
        <f t="shared" si="21"/>
        <v>1.6788647274743067</v>
      </c>
      <c r="E492">
        <f t="shared" si="22"/>
        <v>6.6613381477509392E-15</v>
      </c>
      <c r="F492">
        <f t="shared" si="23"/>
        <v>3.9968028886505635E-15</v>
      </c>
    </row>
    <row r="493" spans="2:6" x14ac:dyDescent="0.3">
      <c r="B493">
        <v>0.48799999999999999</v>
      </c>
      <c r="C493">
        <v>1.67938341350649</v>
      </c>
      <c r="D493">
        <f t="shared" si="21"/>
        <v>1.6793834135064971</v>
      </c>
      <c r="E493">
        <f t="shared" si="22"/>
        <v>7.1054273576010019E-15</v>
      </c>
      <c r="F493">
        <f t="shared" si="23"/>
        <v>4.2188474935755949E-15</v>
      </c>
    </row>
    <row r="494" spans="2:6" x14ac:dyDescent="0.3">
      <c r="B494">
        <v>0.48899999999999999</v>
      </c>
      <c r="C494">
        <v>1.6799039047795801</v>
      </c>
      <c r="D494">
        <f t="shared" si="21"/>
        <v>1.6799039047795801</v>
      </c>
      <c r="E494">
        <f t="shared" si="22"/>
        <v>0</v>
      </c>
      <c r="F494">
        <f t="shared" si="23"/>
        <v>0</v>
      </c>
    </row>
    <row r="495" spans="2:6" x14ac:dyDescent="0.3">
      <c r="B495">
        <v>0.49</v>
      </c>
      <c r="C495">
        <v>1.6804262078321099</v>
      </c>
      <c r="D495">
        <f t="shared" si="21"/>
        <v>1.6804262078321175</v>
      </c>
      <c r="E495">
        <f t="shared" si="22"/>
        <v>7.5495165674510645E-15</v>
      </c>
      <c r="F495">
        <f t="shared" si="23"/>
        <v>4.4408920985006262E-15</v>
      </c>
    </row>
    <row r="496" spans="2:6" x14ac:dyDescent="0.3">
      <c r="B496">
        <v>0.49099999999999999</v>
      </c>
      <c r="C496">
        <v>1.6809503292441701</v>
      </c>
      <c r="D496">
        <f t="shared" si="21"/>
        <v>1.6809503292441763</v>
      </c>
      <c r="E496">
        <f t="shared" si="22"/>
        <v>6.2172489379008766E-15</v>
      </c>
      <c r="F496">
        <f t="shared" si="23"/>
        <v>3.7747582837255322E-15</v>
      </c>
    </row>
    <row r="497" spans="2:6" x14ac:dyDescent="0.3">
      <c r="B497">
        <v>0.49199999999999999</v>
      </c>
      <c r="C497">
        <v>1.68147627563765</v>
      </c>
      <c r="D497">
        <f t="shared" si="21"/>
        <v>1.6814762756376553</v>
      </c>
      <c r="E497">
        <f t="shared" si="22"/>
        <v>5.3290705182007514E-15</v>
      </c>
      <c r="F497">
        <f t="shared" si="23"/>
        <v>3.1086244689504383E-15</v>
      </c>
    </row>
    <row r="498" spans="2:6" x14ac:dyDescent="0.3">
      <c r="B498">
        <v>0.49299999999999999</v>
      </c>
      <c r="C498">
        <v>1.6820040536766101</v>
      </c>
      <c r="D498">
        <f t="shared" si="21"/>
        <v>1.6820040536766128</v>
      </c>
      <c r="E498">
        <f t="shared" si="22"/>
        <v>2.6645352591003757E-15</v>
      </c>
      <c r="F498">
        <f t="shared" si="23"/>
        <v>0</v>
      </c>
    </row>
    <row r="499" spans="2:6" x14ac:dyDescent="0.3">
      <c r="B499">
        <v>0.49399999999999999</v>
      </c>
      <c r="C499">
        <v>1.6825336700675999</v>
      </c>
      <c r="D499">
        <f t="shared" si="21"/>
        <v>1.6825336700676019</v>
      </c>
      <c r="E499">
        <f t="shared" si="22"/>
        <v>1.9984014443252818E-15</v>
      </c>
      <c r="F499">
        <f t="shared" si="23"/>
        <v>0</v>
      </c>
    </row>
    <row r="500" spans="2:6" x14ac:dyDescent="0.3">
      <c r="B500">
        <v>0.495</v>
      </c>
      <c r="C500">
        <v>1.68306513156</v>
      </c>
      <c r="D500">
        <f t="shared" si="21"/>
        <v>1.6830651315600029</v>
      </c>
      <c r="E500">
        <f t="shared" si="22"/>
        <v>2.886579864025407E-15</v>
      </c>
      <c r="F500">
        <f t="shared" si="23"/>
        <v>1.7763568394002505E-15</v>
      </c>
    </row>
    <row r="501" spans="2:6" x14ac:dyDescent="0.3">
      <c r="B501">
        <v>0.496</v>
      </c>
      <c r="C501">
        <v>1.6835984449463599</v>
      </c>
      <c r="D501">
        <f t="shared" si="21"/>
        <v>1.6835984449463657</v>
      </c>
      <c r="E501">
        <f t="shared" si="22"/>
        <v>5.773159728050814E-15</v>
      </c>
      <c r="F501">
        <f t="shared" si="23"/>
        <v>3.3306690738754696E-15</v>
      </c>
    </row>
    <row r="502" spans="2:6" x14ac:dyDescent="0.3">
      <c r="B502">
        <v>0.497</v>
      </c>
      <c r="C502">
        <v>1.6841336170627501</v>
      </c>
      <c r="D502">
        <f t="shared" si="21"/>
        <v>1.6841336170627506</v>
      </c>
      <c r="E502">
        <f t="shared" si="22"/>
        <v>0</v>
      </c>
      <c r="F502">
        <f t="shared" si="23"/>
        <v>0</v>
      </c>
    </row>
    <row r="503" spans="2:6" x14ac:dyDescent="0.3">
      <c r="B503">
        <v>0.498</v>
      </c>
      <c r="C503">
        <v>1.68467065478907</v>
      </c>
      <c r="D503">
        <f t="shared" si="21"/>
        <v>1.6846706547890746</v>
      </c>
      <c r="E503">
        <f t="shared" si="22"/>
        <v>4.6629367034256575E-15</v>
      </c>
      <c r="F503">
        <f t="shared" si="23"/>
        <v>2.6645352591003757E-15</v>
      </c>
    </row>
    <row r="504" spans="2:6" x14ac:dyDescent="0.3">
      <c r="B504">
        <v>0.499</v>
      </c>
      <c r="C504">
        <v>1.6852095650494601</v>
      </c>
      <c r="D504">
        <f t="shared" si="21"/>
        <v>1.6852095650494621</v>
      </c>
      <c r="E504">
        <f t="shared" si="22"/>
        <v>1.9984014443252818E-15</v>
      </c>
      <c r="F504">
        <f t="shared" si="23"/>
        <v>0</v>
      </c>
    </row>
    <row r="505" spans="2:6" x14ac:dyDescent="0.3">
      <c r="B505">
        <v>0.5</v>
      </c>
      <c r="C505">
        <v>1.6857503548125901</v>
      </c>
      <c r="D505">
        <f t="shared" si="21"/>
        <v>1.6857503548125961</v>
      </c>
      <c r="E505">
        <f t="shared" si="22"/>
        <v>5.9952043329758453E-15</v>
      </c>
      <c r="F505">
        <f t="shared" si="23"/>
        <v>3.5527136788005009E-15</v>
      </c>
    </row>
    <row r="506" spans="2:6" x14ac:dyDescent="0.3">
      <c r="B506">
        <v>0.501</v>
      </c>
      <c r="C506">
        <v>1.6862930310920701</v>
      </c>
      <c r="D506">
        <f t="shared" si="21"/>
        <v>1.6862930310920772</v>
      </c>
      <c r="E506">
        <f t="shared" si="22"/>
        <v>7.1054273576010019E-15</v>
      </c>
      <c r="F506">
        <f t="shared" si="23"/>
        <v>4.2188474935755949E-15</v>
      </c>
    </row>
    <row r="507" spans="2:6" x14ac:dyDescent="0.3">
      <c r="B507">
        <v>0.502</v>
      </c>
      <c r="C507">
        <v>1.68683760094678</v>
      </c>
      <c r="D507">
        <f t="shared" si="21"/>
        <v>1.6868376009467825</v>
      </c>
      <c r="E507">
        <f t="shared" si="22"/>
        <v>2.4424906541753444E-15</v>
      </c>
      <c r="F507">
        <f t="shared" si="23"/>
        <v>0</v>
      </c>
    </row>
    <row r="508" spans="2:6" x14ac:dyDescent="0.3">
      <c r="B508">
        <v>0.503</v>
      </c>
      <c r="C508">
        <v>1.68738407148123</v>
      </c>
      <c r="D508">
        <f t="shared" si="21"/>
        <v>1.6873840714812303</v>
      </c>
      <c r="E508">
        <f t="shared" si="22"/>
        <v>0</v>
      </c>
      <c r="F508">
        <f t="shared" si="23"/>
        <v>0</v>
      </c>
    </row>
    <row r="509" spans="2:6" x14ac:dyDescent="0.3">
      <c r="B509">
        <v>0.504</v>
      </c>
      <c r="C509">
        <v>1.68793244984594</v>
      </c>
      <c r="D509">
        <f t="shared" si="21"/>
        <v>1.6879324498459469</v>
      </c>
      <c r="E509">
        <f t="shared" si="22"/>
        <v>6.8833827526759706E-15</v>
      </c>
      <c r="F509">
        <f t="shared" si="23"/>
        <v>3.9968028886505635E-15</v>
      </c>
    </row>
    <row r="510" spans="2:6" x14ac:dyDescent="0.3">
      <c r="B510">
        <v>0.505</v>
      </c>
      <c r="C510">
        <v>1.68848274323783</v>
      </c>
      <c r="D510">
        <f t="shared" si="21"/>
        <v>1.6884827432378398</v>
      </c>
      <c r="E510">
        <f t="shared" si="22"/>
        <v>9.7699626167013776E-15</v>
      </c>
      <c r="F510">
        <f t="shared" si="23"/>
        <v>5.773159728050814E-15</v>
      </c>
    </row>
    <row r="511" spans="2:6" x14ac:dyDescent="0.3">
      <c r="B511">
        <v>0.50600000000000001</v>
      </c>
      <c r="C511">
        <v>1.68903495890057</v>
      </c>
      <c r="D511">
        <f t="shared" si="21"/>
        <v>1.6890349589005715</v>
      </c>
      <c r="E511">
        <f t="shared" si="22"/>
        <v>0</v>
      </c>
      <c r="F511">
        <f t="shared" si="23"/>
        <v>0</v>
      </c>
    </row>
    <row r="512" spans="2:6" x14ac:dyDescent="0.3">
      <c r="B512">
        <v>0.50700000000000001</v>
      </c>
      <c r="C512">
        <v>1.68958910412494</v>
      </c>
      <c r="D512">
        <f t="shared" si="21"/>
        <v>1.6895891041249405</v>
      </c>
      <c r="E512">
        <f t="shared" si="22"/>
        <v>0</v>
      </c>
      <c r="F512">
        <f t="shared" si="23"/>
        <v>0</v>
      </c>
    </row>
    <row r="513" spans="2:6" x14ac:dyDescent="0.3">
      <c r="B513">
        <v>0.50800000000000001</v>
      </c>
      <c r="C513">
        <v>1.69014518624926</v>
      </c>
      <c r="D513">
        <f t="shared" si="21"/>
        <v>1.6901451862492616</v>
      </c>
      <c r="E513">
        <f t="shared" si="22"/>
        <v>0</v>
      </c>
      <c r="F513">
        <f t="shared" si="23"/>
        <v>0</v>
      </c>
    </row>
    <row r="514" spans="2:6" x14ac:dyDescent="0.3">
      <c r="B514">
        <v>0.50900000000000001</v>
      </c>
      <c r="C514">
        <v>1.6907032126597501</v>
      </c>
      <c r="D514">
        <f t="shared" si="21"/>
        <v>1.6907032126597561</v>
      </c>
      <c r="E514">
        <f t="shared" si="22"/>
        <v>5.9952043329758453E-15</v>
      </c>
      <c r="F514">
        <f t="shared" si="23"/>
        <v>3.5527136788005009E-15</v>
      </c>
    </row>
    <row r="515" spans="2:6" x14ac:dyDescent="0.3">
      <c r="B515">
        <v>0.51</v>
      </c>
      <c r="C515">
        <v>1.6912631907909399</v>
      </c>
      <c r="D515">
        <f t="shared" si="21"/>
        <v>1.6912631907909408</v>
      </c>
      <c r="E515">
        <f t="shared" si="22"/>
        <v>0</v>
      </c>
      <c r="F515">
        <f t="shared" si="23"/>
        <v>0</v>
      </c>
    </row>
    <row r="516" spans="2:6" x14ac:dyDescent="0.3">
      <c r="B516">
        <v>0.51100000000000001</v>
      </c>
      <c r="C516">
        <v>1.6918251281260199</v>
      </c>
      <c r="D516">
        <f t="shared" si="21"/>
        <v>1.6918251281260241</v>
      </c>
      <c r="E516">
        <f t="shared" si="22"/>
        <v>4.2188474935755949E-15</v>
      </c>
      <c r="F516">
        <f t="shared" si="23"/>
        <v>2.4424906541753444E-15</v>
      </c>
    </row>
    <row r="517" spans="2:6" x14ac:dyDescent="0.3">
      <c r="B517">
        <v>0.51200000000000001</v>
      </c>
      <c r="C517">
        <v>1.6923890321973001</v>
      </c>
      <c r="D517">
        <f t="shared" si="21"/>
        <v>1.692389032197305</v>
      </c>
      <c r="E517">
        <f t="shared" si="22"/>
        <v>4.8849813083506888E-15</v>
      </c>
      <c r="F517">
        <f t="shared" si="23"/>
        <v>2.886579864025407E-15</v>
      </c>
    </row>
    <row r="518" spans="2:6" x14ac:dyDescent="0.3">
      <c r="B518">
        <v>0.51300000000000001</v>
      </c>
      <c r="C518">
        <v>1.69295491058657</v>
      </c>
      <c r="D518">
        <f t="shared" ref="D518:D581" si="24">completeElliptic1($B518*$B518)</f>
        <v>1.6929549105865758</v>
      </c>
      <c r="E518">
        <f t="shared" ref="E518:E581" si="25">$D518-$C518</f>
        <v>5.773159728050814E-15</v>
      </c>
      <c r="F518">
        <f t="shared" ref="F518:F581" si="26">$D518/$C518-1</f>
        <v>3.3306690738754696E-15</v>
      </c>
    </row>
    <row r="519" spans="2:6" x14ac:dyDescent="0.3">
      <c r="B519">
        <v>0.51400000000000001</v>
      </c>
      <c r="C519">
        <v>1.6935227709255301</v>
      </c>
      <c r="D519">
        <f t="shared" si="24"/>
        <v>1.6935227709255307</v>
      </c>
      <c r="E519">
        <f t="shared" si="25"/>
        <v>0</v>
      </c>
      <c r="F519">
        <f t="shared" si="26"/>
        <v>0</v>
      </c>
    </row>
    <row r="520" spans="2:6" x14ac:dyDescent="0.3">
      <c r="B520">
        <v>0.51500000000000001</v>
      </c>
      <c r="C520">
        <v>1.69409262089617</v>
      </c>
      <c r="D520">
        <f t="shared" si="24"/>
        <v>1.694092620896178</v>
      </c>
      <c r="E520">
        <f t="shared" si="25"/>
        <v>7.9936057773011271E-15</v>
      </c>
      <c r="F520">
        <f t="shared" si="26"/>
        <v>4.6629367034256575E-15</v>
      </c>
    </row>
    <row r="521" spans="2:6" x14ac:dyDescent="0.3">
      <c r="B521">
        <v>0.51600000000000001</v>
      </c>
      <c r="C521">
        <v>1.6946644682312499</v>
      </c>
      <c r="D521">
        <f t="shared" si="24"/>
        <v>1.6946644682312539</v>
      </c>
      <c r="E521">
        <f t="shared" si="25"/>
        <v>3.9968028886505635E-15</v>
      </c>
      <c r="F521">
        <f t="shared" si="26"/>
        <v>2.4424906541753444E-15</v>
      </c>
    </row>
    <row r="522" spans="2:6" x14ac:dyDescent="0.3">
      <c r="B522">
        <v>0.51700000000000002</v>
      </c>
      <c r="C522">
        <v>1.69523832071464</v>
      </c>
      <c r="D522">
        <f t="shared" si="24"/>
        <v>1.6952383207146464</v>
      </c>
      <c r="E522">
        <f t="shared" si="25"/>
        <v>6.4392935428259079E-15</v>
      </c>
      <c r="F522">
        <f t="shared" si="26"/>
        <v>3.7747582837255322E-15</v>
      </c>
    </row>
    <row r="523" spans="2:6" x14ac:dyDescent="0.3">
      <c r="B523">
        <v>0.51800000000000002</v>
      </c>
      <c r="C523">
        <v>1.6958141861818099</v>
      </c>
      <c r="D523">
        <f t="shared" si="24"/>
        <v>1.6958141861818172</v>
      </c>
      <c r="E523">
        <f t="shared" si="25"/>
        <v>7.3274719625260332E-15</v>
      </c>
      <c r="F523">
        <f t="shared" si="26"/>
        <v>4.2188474935755949E-15</v>
      </c>
    </row>
    <row r="524" spans="2:6" x14ac:dyDescent="0.3">
      <c r="B524">
        <v>0.51900000000000002</v>
      </c>
      <c r="C524">
        <v>1.6963920725202299</v>
      </c>
      <c r="D524">
        <f t="shared" si="24"/>
        <v>1.6963920725202328</v>
      </c>
      <c r="E524">
        <f t="shared" si="25"/>
        <v>2.886579864025407E-15</v>
      </c>
      <c r="F524">
        <f t="shared" si="26"/>
        <v>1.7763568394002505E-15</v>
      </c>
    </row>
    <row r="525" spans="2:6" x14ac:dyDescent="0.3">
      <c r="B525">
        <v>0.52</v>
      </c>
      <c r="C525">
        <v>1.69697198766979</v>
      </c>
      <c r="D525">
        <f t="shared" si="24"/>
        <v>1.6969719876697984</v>
      </c>
      <c r="E525">
        <f t="shared" si="25"/>
        <v>8.4376949871511897E-15</v>
      </c>
      <c r="F525">
        <f t="shared" si="26"/>
        <v>4.8849813083506888E-15</v>
      </c>
    </row>
    <row r="526" spans="2:6" x14ac:dyDescent="0.3">
      <c r="B526">
        <v>0.52100000000000002</v>
      </c>
      <c r="C526">
        <v>1.6975539396232899</v>
      </c>
      <c r="D526">
        <f t="shared" si="24"/>
        <v>1.697553939623295</v>
      </c>
      <c r="E526">
        <f t="shared" si="25"/>
        <v>5.1070259132757201E-15</v>
      </c>
      <c r="F526">
        <f t="shared" si="26"/>
        <v>3.1086244689504383E-15</v>
      </c>
    </row>
    <row r="527" spans="2:6" x14ac:dyDescent="0.3">
      <c r="B527">
        <v>0.52200000000000002</v>
      </c>
      <c r="C527">
        <v>1.6981379364268201</v>
      </c>
      <c r="D527">
        <f t="shared" si="24"/>
        <v>1.698137936426825</v>
      </c>
      <c r="E527">
        <f t="shared" si="25"/>
        <v>4.8849813083506888E-15</v>
      </c>
      <c r="F527">
        <f t="shared" si="26"/>
        <v>2.886579864025407E-15</v>
      </c>
    </row>
    <row r="528" spans="2:6" x14ac:dyDescent="0.3">
      <c r="B528">
        <v>0.52300000000000002</v>
      </c>
      <c r="C528">
        <v>1.6987239861802499</v>
      </c>
      <c r="D528">
        <f t="shared" si="24"/>
        <v>1.6987239861802577</v>
      </c>
      <c r="E528">
        <f t="shared" si="25"/>
        <v>7.7715611723760958E-15</v>
      </c>
      <c r="F528">
        <f t="shared" si="26"/>
        <v>4.6629367034256575E-15</v>
      </c>
    </row>
    <row r="529" spans="2:6" x14ac:dyDescent="0.3">
      <c r="B529">
        <v>0.52400000000000002</v>
      </c>
      <c r="C529">
        <v>1.69931209703768</v>
      </c>
      <c r="D529">
        <f t="shared" si="24"/>
        <v>1.6993120970376832</v>
      </c>
      <c r="E529">
        <f t="shared" si="25"/>
        <v>3.1086244689504383E-15</v>
      </c>
      <c r="F529">
        <f t="shared" si="26"/>
        <v>1.7763568394002505E-15</v>
      </c>
    </row>
    <row r="530" spans="2:6" x14ac:dyDescent="0.3">
      <c r="B530">
        <v>0.52500000000000002</v>
      </c>
      <c r="C530">
        <v>1.69990227720786</v>
      </c>
      <c r="D530">
        <f t="shared" si="24"/>
        <v>1.6999022772078691</v>
      </c>
      <c r="E530">
        <f t="shared" si="25"/>
        <v>9.1038288019262836E-15</v>
      </c>
      <c r="F530">
        <f t="shared" si="26"/>
        <v>5.3290705182007514E-15</v>
      </c>
    </row>
    <row r="531" spans="2:6" x14ac:dyDescent="0.3">
      <c r="B531">
        <v>0.52600000000000002</v>
      </c>
      <c r="C531">
        <v>1.70049453495472</v>
      </c>
      <c r="D531">
        <f t="shared" si="24"/>
        <v>1.7004945349547245</v>
      </c>
      <c r="E531">
        <f t="shared" si="25"/>
        <v>4.4408920985006262E-15</v>
      </c>
      <c r="F531">
        <f t="shared" si="26"/>
        <v>2.6645352591003757E-15</v>
      </c>
    </row>
    <row r="532" spans="2:6" x14ac:dyDescent="0.3">
      <c r="B532">
        <v>0.52700000000000002</v>
      </c>
      <c r="C532">
        <v>1.70108887859776</v>
      </c>
      <c r="D532">
        <f t="shared" si="24"/>
        <v>1.7010888785977649</v>
      </c>
      <c r="E532">
        <f t="shared" si="25"/>
        <v>4.8849813083506888E-15</v>
      </c>
      <c r="F532">
        <f t="shared" si="26"/>
        <v>2.886579864025407E-15</v>
      </c>
    </row>
    <row r="533" spans="2:6" x14ac:dyDescent="0.3">
      <c r="B533">
        <v>0.52800000000000002</v>
      </c>
      <c r="C533">
        <v>1.70168531651258</v>
      </c>
      <c r="D533">
        <f t="shared" si="24"/>
        <v>1.7016853165125863</v>
      </c>
      <c r="E533">
        <f t="shared" si="25"/>
        <v>6.2172489379008766E-15</v>
      </c>
      <c r="F533">
        <f t="shared" si="26"/>
        <v>3.5527136788005009E-15</v>
      </c>
    </row>
    <row r="534" spans="2:6" x14ac:dyDescent="0.3">
      <c r="B534">
        <v>0.52900000000000003</v>
      </c>
      <c r="C534">
        <v>1.7022838571313399</v>
      </c>
      <c r="D534">
        <f t="shared" si="24"/>
        <v>1.7022838571313414</v>
      </c>
      <c r="E534">
        <f t="shared" si="25"/>
        <v>0</v>
      </c>
      <c r="F534">
        <f t="shared" si="26"/>
        <v>0</v>
      </c>
    </row>
    <row r="535" spans="2:6" x14ac:dyDescent="0.3">
      <c r="B535">
        <v>0.53</v>
      </c>
      <c r="C535">
        <v>1.7028845089432201</v>
      </c>
      <c r="D535">
        <f t="shared" si="24"/>
        <v>1.7028845089432236</v>
      </c>
      <c r="E535">
        <f t="shared" si="25"/>
        <v>3.5527136788005009E-15</v>
      </c>
      <c r="F535">
        <f t="shared" si="26"/>
        <v>1.9984014443252818E-15</v>
      </c>
    </row>
    <row r="536" spans="2:6" x14ac:dyDescent="0.3">
      <c r="B536">
        <v>0.53100000000000003</v>
      </c>
      <c r="C536">
        <v>1.7034872804949499</v>
      </c>
      <c r="D536">
        <f t="shared" si="24"/>
        <v>1.7034872804949528</v>
      </c>
      <c r="E536">
        <f t="shared" si="25"/>
        <v>2.886579864025407E-15</v>
      </c>
      <c r="F536">
        <f t="shared" si="26"/>
        <v>1.7763568394002505E-15</v>
      </c>
    </row>
    <row r="537" spans="2:6" x14ac:dyDescent="0.3">
      <c r="B537">
        <v>0.53200000000000003</v>
      </c>
      <c r="C537">
        <v>1.7040921803912601</v>
      </c>
      <c r="D537">
        <f t="shared" si="24"/>
        <v>1.7040921803912696</v>
      </c>
      <c r="E537">
        <f t="shared" si="25"/>
        <v>9.5479180117763462E-15</v>
      </c>
      <c r="F537">
        <f t="shared" si="26"/>
        <v>5.5511151231257827E-15</v>
      </c>
    </row>
    <row r="538" spans="2:6" x14ac:dyDescent="0.3">
      <c r="B538">
        <v>0.53300000000000003</v>
      </c>
      <c r="C538">
        <v>1.7046992172954301</v>
      </c>
      <c r="D538">
        <f t="shared" si="24"/>
        <v>1.7046992172954338</v>
      </c>
      <c r="E538">
        <f t="shared" si="25"/>
        <v>3.7747582837255322E-15</v>
      </c>
      <c r="F538">
        <f t="shared" si="26"/>
        <v>2.2204460492503131E-15</v>
      </c>
    </row>
    <row r="539" spans="2:6" x14ac:dyDescent="0.3">
      <c r="B539">
        <v>0.53400000000000003</v>
      </c>
      <c r="C539">
        <v>1.7053083999297201</v>
      </c>
      <c r="D539">
        <f t="shared" si="24"/>
        <v>1.7053083999297274</v>
      </c>
      <c r="E539">
        <f t="shared" si="25"/>
        <v>7.3274719625260332E-15</v>
      </c>
      <c r="F539">
        <f t="shared" si="26"/>
        <v>4.2188474935755949E-15</v>
      </c>
    </row>
    <row r="540" spans="2:6" x14ac:dyDescent="0.3">
      <c r="B540">
        <v>0.53500000000000003</v>
      </c>
      <c r="C540">
        <v>1.70591973707596</v>
      </c>
      <c r="D540">
        <f t="shared" si="24"/>
        <v>1.7059197370759636</v>
      </c>
      <c r="E540">
        <f t="shared" si="25"/>
        <v>3.5527136788005009E-15</v>
      </c>
      <c r="F540">
        <f t="shared" si="26"/>
        <v>1.9984014443252818E-15</v>
      </c>
    </row>
    <row r="541" spans="2:6" x14ac:dyDescent="0.3">
      <c r="B541">
        <v>0.53600000000000003</v>
      </c>
      <c r="C541">
        <v>1.7065332375760001</v>
      </c>
      <c r="D541">
        <f t="shared" si="24"/>
        <v>1.7065332375760029</v>
      </c>
      <c r="E541">
        <f t="shared" si="25"/>
        <v>2.886579864025407E-15</v>
      </c>
      <c r="F541">
        <f t="shared" si="26"/>
        <v>1.7763568394002505E-15</v>
      </c>
    </row>
    <row r="542" spans="2:6" x14ac:dyDescent="0.3">
      <c r="B542">
        <v>0.53700000000000003</v>
      </c>
      <c r="C542">
        <v>1.7071489103322699</v>
      </c>
      <c r="D542">
        <f t="shared" si="24"/>
        <v>1.7071489103322723</v>
      </c>
      <c r="E542">
        <f t="shared" si="25"/>
        <v>2.4424906541753444E-15</v>
      </c>
      <c r="F542">
        <f t="shared" si="26"/>
        <v>0</v>
      </c>
    </row>
    <row r="543" spans="2:6" x14ac:dyDescent="0.3">
      <c r="B543">
        <v>0.53800000000000003</v>
      </c>
      <c r="C543">
        <v>1.7077667643082901</v>
      </c>
      <c r="D543">
        <f t="shared" si="24"/>
        <v>1.7077667643082912</v>
      </c>
      <c r="E543">
        <f t="shared" si="25"/>
        <v>0</v>
      </c>
      <c r="F543">
        <f t="shared" si="26"/>
        <v>0</v>
      </c>
    </row>
    <row r="544" spans="2:6" x14ac:dyDescent="0.3">
      <c r="B544">
        <v>0.53900000000000003</v>
      </c>
      <c r="C544">
        <v>1.7083868085292</v>
      </c>
      <c r="D544">
        <f t="shared" si="24"/>
        <v>1.7083868085292047</v>
      </c>
      <c r="E544">
        <f t="shared" si="25"/>
        <v>4.6629367034256575E-15</v>
      </c>
      <c r="F544">
        <f t="shared" si="26"/>
        <v>2.6645352591003757E-15</v>
      </c>
    </row>
    <row r="545" spans="2:6" x14ac:dyDescent="0.3">
      <c r="B545">
        <v>0.54</v>
      </c>
      <c r="C545">
        <v>1.70900905208231</v>
      </c>
      <c r="D545">
        <f t="shared" si="24"/>
        <v>1.7090090520823191</v>
      </c>
      <c r="E545">
        <f t="shared" si="25"/>
        <v>9.1038288019262836E-15</v>
      </c>
      <c r="F545">
        <f t="shared" si="26"/>
        <v>5.3290705182007514E-15</v>
      </c>
    </row>
    <row r="546" spans="2:6" x14ac:dyDescent="0.3">
      <c r="B546">
        <v>0.54100000000000004</v>
      </c>
      <c r="C546">
        <v>1.70963350411764</v>
      </c>
      <c r="D546">
        <f t="shared" si="24"/>
        <v>1.7096335041176478</v>
      </c>
      <c r="E546">
        <f t="shared" si="25"/>
        <v>7.7715611723760958E-15</v>
      </c>
      <c r="F546">
        <f t="shared" si="26"/>
        <v>4.4408920985006262E-15</v>
      </c>
    </row>
    <row r="547" spans="2:6" x14ac:dyDescent="0.3">
      <c r="B547">
        <v>0.54200000000000004</v>
      </c>
      <c r="C547">
        <v>1.71026017384845</v>
      </c>
      <c r="D547">
        <f t="shared" si="24"/>
        <v>1.7102601738484595</v>
      </c>
      <c r="E547">
        <f t="shared" si="25"/>
        <v>9.5479180117763462E-15</v>
      </c>
      <c r="F547">
        <f t="shared" si="26"/>
        <v>5.5511151231257827E-15</v>
      </c>
    </row>
    <row r="548" spans="2:6" x14ac:dyDescent="0.3">
      <c r="B548">
        <v>0.54300000000000004</v>
      </c>
      <c r="C548">
        <v>1.71088907055183</v>
      </c>
      <c r="D548">
        <f t="shared" si="24"/>
        <v>1.710889070551834</v>
      </c>
      <c r="E548">
        <f t="shared" si="25"/>
        <v>3.9968028886505635E-15</v>
      </c>
      <c r="F548">
        <f t="shared" si="26"/>
        <v>2.4424906541753444E-15</v>
      </c>
    </row>
    <row r="549" spans="2:6" x14ac:dyDescent="0.3">
      <c r="B549">
        <v>0.54400000000000004</v>
      </c>
      <c r="C549">
        <v>1.7115202035692201</v>
      </c>
      <c r="D549">
        <f t="shared" si="24"/>
        <v>1.7115202035692245</v>
      </c>
      <c r="E549">
        <f t="shared" si="25"/>
        <v>4.4408920985006262E-15</v>
      </c>
      <c r="F549">
        <f t="shared" si="26"/>
        <v>2.6645352591003757E-15</v>
      </c>
    </row>
    <row r="550" spans="2:6" x14ac:dyDescent="0.3">
      <c r="B550">
        <v>0.54500000000000004</v>
      </c>
      <c r="C550">
        <v>1.71215358230702</v>
      </c>
      <c r="D550">
        <f t="shared" si="24"/>
        <v>1.7121535823070255</v>
      </c>
      <c r="E550">
        <f t="shared" si="25"/>
        <v>5.5511151231257827E-15</v>
      </c>
      <c r="F550">
        <f t="shared" si="26"/>
        <v>3.3306690738754696E-15</v>
      </c>
    </row>
    <row r="551" spans="2:6" x14ac:dyDescent="0.3">
      <c r="B551">
        <v>0.54600000000000004</v>
      </c>
      <c r="C551">
        <v>1.7127892162371401</v>
      </c>
      <c r="D551">
        <f t="shared" si="24"/>
        <v>1.712789216237147</v>
      </c>
      <c r="E551">
        <f t="shared" si="25"/>
        <v>6.8833827526759706E-15</v>
      </c>
      <c r="F551">
        <f t="shared" si="26"/>
        <v>3.9968028886505635E-15</v>
      </c>
    </row>
    <row r="552" spans="2:6" x14ac:dyDescent="0.3">
      <c r="B552">
        <v>0.54700000000000004</v>
      </c>
      <c r="C552">
        <v>1.7134271148975899</v>
      </c>
      <c r="D552">
        <f t="shared" si="24"/>
        <v>1.7134271148975952</v>
      </c>
      <c r="E552">
        <f t="shared" si="25"/>
        <v>5.3290705182007514E-15</v>
      </c>
      <c r="F552">
        <f t="shared" si="26"/>
        <v>3.1086244689504383E-15</v>
      </c>
    </row>
    <row r="553" spans="2:6" x14ac:dyDescent="0.3">
      <c r="B553">
        <v>0.54800000000000004</v>
      </c>
      <c r="C553">
        <v>1.7140672878930601</v>
      </c>
      <c r="D553">
        <f t="shared" si="24"/>
        <v>1.7140672878930612</v>
      </c>
      <c r="E553">
        <f t="shared" si="25"/>
        <v>0</v>
      </c>
      <c r="F553">
        <f t="shared" si="26"/>
        <v>0</v>
      </c>
    </row>
    <row r="554" spans="2:6" x14ac:dyDescent="0.3">
      <c r="B554">
        <v>0.54900000000000004</v>
      </c>
      <c r="C554">
        <v>1.71470974489551</v>
      </c>
      <c r="D554">
        <f t="shared" si="24"/>
        <v>1.7147097448955122</v>
      </c>
      <c r="E554">
        <f t="shared" si="25"/>
        <v>2.2204460492503131E-15</v>
      </c>
      <c r="F554">
        <f t="shared" si="26"/>
        <v>0</v>
      </c>
    </row>
    <row r="555" spans="2:6" x14ac:dyDescent="0.3">
      <c r="B555">
        <v>0.55000000000000004</v>
      </c>
      <c r="C555">
        <v>1.7153544956447899</v>
      </c>
      <c r="D555">
        <f t="shared" si="24"/>
        <v>1.715354495644795</v>
      </c>
      <c r="E555">
        <f t="shared" si="25"/>
        <v>5.1070259132757201E-15</v>
      </c>
      <c r="F555">
        <f t="shared" si="26"/>
        <v>2.886579864025407E-15</v>
      </c>
    </row>
    <row r="556" spans="2:6" x14ac:dyDescent="0.3">
      <c r="B556">
        <v>0.55100000000000005</v>
      </c>
      <c r="C556">
        <v>1.71600154994924</v>
      </c>
      <c r="D556">
        <f t="shared" si="24"/>
        <v>1.7160015499492414</v>
      </c>
      <c r="E556">
        <f t="shared" si="25"/>
        <v>0</v>
      </c>
      <c r="F556">
        <f t="shared" si="26"/>
        <v>0</v>
      </c>
    </row>
    <row r="557" spans="2:6" x14ac:dyDescent="0.3">
      <c r="B557">
        <v>0.55200000000000005</v>
      </c>
      <c r="C557">
        <v>1.7166509176862801</v>
      </c>
      <c r="D557">
        <f t="shared" si="24"/>
        <v>1.716650917686283</v>
      </c>
      <c r="E557">
        <f t="shared" si="25"/>
        <v>2.886579864025407E-15</v>
      </c>
      <c r="F557">
        <f t="shared" si="26"/>
        <v>1.7763568394002505E-15</v>
      </c>
    </row>
    <row r="558" spans="2:6" x14ac:dyDescent="0.3">
      <c r="B558">
        <v>0.55300000000000005</v>
      </c>
      <c r="C558">
        <v>1.7173026088030701</v>
      </c>
      <c r="D558">
        <f t="shared" si="24"/>
        <v>1.7173026088030723</v>
      </c>
      <c r="E558">
        <f t="shared" si="25"/>
        <v>2.2204460492503131E-15</v>
      </c>
      <c r="F558">
        <f t="shared" si="26"/>
        <v>0</v>
      </c>
    </row>
    <row r="559" spans="2:6" x14ac:dyDescent="0.3">
      <c r="B559">
        <v>0.55400000000000005</v>
      </c>
      <c r="C559">
        <v>1.7179566333171099</v>
      </c>
      <c r="D559">
        <f t="shared" si="24"/>
        <v>1.7179566333171103</v>
      </c>
      <c r="E559">
        <f t="shared" si="25"/>
        <v>0</v>
      </c>
      <c r="F559">
        <f t="shared" si="26"/>
        <v>0</v>
      </c>
    </row>
    <row r="560" spans="2:6" x14ac:dyDescent="0.3">
      <c r="B560">
        <v>0.55500000000000005</v>
      </c>
      <c r="C560">
        <v>1.7186130013168801</v>
      </c>
      <c r="D560">
        <f t="shared" si="24"/>
        <v>1.718613001316883</v>
      </c>
      <c r="E560">
        <f t="shared" si="25"/>
        <v>2.886579864025407E-15</v>
      </c>
      <c r="F560">
        <f t="shared" si="26"/>
        <v>1.7763568394002505E-15</v>
      </c>
    </row>
    <row r="561" spans="2:6" x14ac:dyDescent="0.3">
      <c r="B561">
        <v>0.55600000000000005</v>
      </c>
      <c r="C561">
        <v>1.7192717229625001</v>
      </c>
      <c r="D561">
        <f t="shared" si="24"/>
        <v>1.7192717229625025</v>
      </c>
      <c r="E561">
        <f t="shared" si="25"/>
        <v>2.4424906541753444E-15</v>
      </c>
      <c r="F561">
        <f t="shared" si="26"/>
        <v>0</v>
      </c>
    </row>
    <row r="562" spans="2:6" x14ac:dyDescent="0.3">
      <c r="B562">
        <v>0.55700000000000005</v>
      </c>
      <c r="C562">
        <v>1.7199328084863501</v>
      </c>
      <c r="D562">
        <f t="shared" si="24"/>
        <v>1.7199328084863585</v>
      </c>
      <c r="E562">
        <f t="shared" si="25"/>
        <v>8.4376949871511897E-15</v>
      </c>
      <c r="F562">
        <f t="shared" si="26"/>
        <v>4.8849813083506888E-15</v>
      </c>
    </row>
    <row r="563" spans="2:6" x14ac:dyDescent="0.3">
      <c r="B563">
        <v>0.55800000000000005</v>
      </c>
      <c r="C563">
        <v>1.7205962681937701</v>
      </c>
      <c r="D563">
        <f t="shared" si="24"/>
        <v>1.7205962681937734</v>
      </c>
      <c r="E563">
        <f t="shared" si="25"/>
        <v>3.3306690738754696E-15</v>
      </c>
      <c r="F563">
        <f t="shared" si="26"/>
        <v>1.9984014443252818E-15</v>
      </c>
    </row>
    <row r="564" spans="2:6" x14ac:dyDescent="0.3">
      <c r="B564">
        <v>0.55900000000000005</v>
      </c>
      <c r="C564">
        <v>1.72126211246366</v>
      </c>
      <c r="D564">
        <f t="shared" si="24"/>
        <v>1.7212621124636682</v>
      </c>
      <c r="E564">
        <f t="shared" si="25"/>
        <v>8.2156503822261584E-15</v>
      </c>
      <c r="F564">
        <f t="shared" si="26"/>
        <v>4.6629367034256575E-15</v>
      </c>
    </row>
    <row r="565" spans="2:6" x14ac:dyDescent="0.3">
      <c r="B565">
        <v>0.56000000000000005</v>
      </c>
      <c r="C565">
        <v>1.7219303517492299</v>
      </c>
      <c r="D565">
        <f t="shared" si="24"/>
        <v>1.7219303517492359</v>
      </c>
      <c r="E565">
        <f t="shared" si="25"/>
        <v>5.9952043329758453E-15</v>
      </c>
      <c r="F565">
        <f t="shared" si="26"/>
        <v>3.5527136788005009E-15</v>
      </c>
    </row>
    <row r="566" spans="2:6" x14ac:dyDescent="0.3">
      <c r="B566">
        <v>0.56100000000000005</v>
      </c>
      <c r="C566">
        <v>1.72260099657861</v>
      </c>
      <c r="D566">
        <f t="shared" si="24"/>
        <v>1.7226009965786198</v>
      </c>
      <c r="E566">
        <f t="shared" si="25"/>
        <v>9.7699626167013776E-15</v>
      </c>
      <c r="F566">
        <f t="shared" si="26"/>
        <v>5.773159728050814E-15</v>
      </c>
    </row>
    <row r="567" spans="2:6" x14ac:dyDescent="0.3">
      <c r="B567">
        <v>0.56200000000000006</v>
      </c>
      <c r="C567">
        <v>1.7232740575556</v>
      </c>
      <c r="D567">
        <f t="shared" si="24"/>
        <v>1.7232740575556029</v>
      </c>
      <c r="E567">
        <f t="shared" si="25"/>
        <v>2.886579864025407E-15</v>
      </c>
      <c r="F567">
        <f t="shared" si="26"/>
        <v>1.7763568394002505E-15</v>
      </c>
    </row>
    <row r="568" spans="2:6" x14ac:dyDescent="0.3">
      <c r="B568">
        <v>0.56299999999999994</v>
      </c>
      <c r="C568">
        <v>1.7239495453603</v>
      </c>
      <c r="D568">
        <f t="shared" si="24"/>
        <v>1.7239495453603022</v>
      </c>
      <c r="E568">
        <f t="shared" si="25"/>
        <v>2.2204460492503131E-15</v>
      </c>
      <c r="F568">
        <f t="shared" si="26"/>
        <v>0</v>
      </c>
    </row>
    <row r="569" spans="2:6" x14ac:dyDescent="0.3">
      <c r="B569">
        <v>0.56399999999999995</v>
      </c>
      <c r="C569">
        <v>1.7246274707498701</v>
      </c>
      <c r="D569">
        <f t="shared" si="24"/>
        <v>1.7246274707498752</v>
      </c>
      <c r="E569">
        <f t="shared" si="25"/>
        <v>5.1070259132757201E-15</v>
      </c>
      <c r="F569">
        <f t="shared" si="26"/>
        <v>2.886579864025407E-15</v>
      </c>
    </row>
    <row r="570" spans="2:6" x14ac:dyDescent="0.3">
      <c r="B570">
        <v>0.56499999999999995</v>
      </c>
      <c r="C570">
        <v>1.72530784455922</v>
      </c>
      <c r="D570">
        <f t="shared" si="24"/>
        <v>1.7253078445592291</v>
      </c>
      <c r="E570">
        <f t="shared" si="25"/>
        <v>9.1038288019262836E-15</v>
      </c>
      <c r="F570">
        <f t="shared" si="26"/>
        <v>5.3290705182007514E-15</v>
      </c>
    </row>
    <row r="571" spans="2:6" x14ac:dyDescent="0.3">
      <c r="B571">
        <v>0.56599999999999995</v>
      </c>
      <c r="C571">
        <v>1.72599067770174</v>
      </c>
      <c r="D571">
        <f t="shared" si="24"/>
        <v>1.7259906777017442</v>
      </c>
      <c r="E571">
        <f t="shared" si="25"/>
        <v>4.2188474935755949E-15</v>
      </c>
      <c r="F571">
        <f t="shared" si="26"/>
        <v>2.4424906541753444E-15</v>
      </c>
    </row>
    <row r="572" spans="2:6" x14ac:dyDescent="0.3">
      <c r="B572">
        <v>0.56699999999999995</v>
      </c>
      <c r="C572">
        <v>1.7266759811700001</v>
      </c>
      <c r="D572">
        <f t="shared" si="24"/>
        <v>1.7266759811700001</v>
      </c>
      <c r="E572">
        <f t="shared" si="25"/>
        <v>0</v>
      </c>
      <c r="F572">
        <f t="shared" si="26"/>
        <v>0</v>
      </c>
    </row>
    <row r="573" spans="2:6" x14ac:dyDescent="0.3">
      <c r="B573">
        <v>0.56799999999999995</v>
      </c>
      <c r="C573">
        <v>1.72736376603651</v>
      </c>
      <c r="D573">
        <f t="shared" si="24"/>
        <v>1.7273637660365149</v>
      </c>
      <c r="E573">
        <f t="shared" si="25"/>
        <v>4.8849813083506888E-15</v>
      </c>
      <c r="F573">
        <f t="shared" si="26"/>
        <v>2.886579864025407E-15</v>
      </c>
    </row>
    <row r="574" spans="2:6" x14ac:dyDescent="0.3">
      <c r="B574">
        <v>0.56899999999999995</v>
      </c>
      <c r="C574">
        <v>1.72805404345448</v>
      </c>
      <c r="D574">
        <f t="shared" si="24"/>
        <v>1.7280540434544898</v>
      </c>
      <c r="E574">
        <f t="shared" si="25"/>
        <v>9.7699626167013776E-15</v>
      </c>
      <c r="F574">
        <f t="shared" si="26"/>
        <v>5.5511151231257827E-15</v>
      </c>
    </row>
    <row r="575" spans="2:6" x14ac:dyDescent="0.3">
      <c r="B575">
        <v>0.56999999999999995</v>
      </c>
      <c r="C575">
        <v>1.72874682465856</v>
      </c>
      <c r="D575">
        <f t="shared" si="24"/>
        <v>1.7287468246585653</v>
      </c>
      <c r="E575">
        <f t="shared" si="25"/>
        <v>5.3290705182007514E-15</v>
      </c>
      <c r="F575">
        <f t="shared" si="26"/>
        <v>3.1086244689504383E-15</v>
      </c>
    </row>
    <row r="576" spans="2:6" x14ac:dyDescent="0.3">
      <c r="B576">
        <v>0.57099999999999995</v>
      </c>
      <c r="C576">
        <v>1.7294421209655799</v>
      </c>
      <c r="D576">
        <f t="shared" si="24"/>
        <v>1.7294421209655837</v>
      </c>
      <c r="E576">
        <f t="shared" si="25"/>
        <v>3.7747582837255322E-15</v>
      </c>
      <c r="F576">
        <f t="shared" si="26"/>
        <v>2.2204460492503131E-15</v>
      </c>
    </row>
    <row r="577" spans="2:6" x14ac:dyDescent="0.3">
      <c r="B577">
        <v>0.57199999999999995</v>
      </c>
      <c r="C577">
        <v>1.73013994377536</v>
      </c>
      <c r="D577">
        <f t="shared" si="24"/>
        <v>1.7301399437753622</v>
      </c>
      <c r="E577">
        <f t="shared" si="25"/>
        <v>2.2204460492503131E-15</v>
      </c>
      <c r="F577">
        <f t="shared" si="26"/>
        <v>0</v>
      </c>
    </row>
    <row r="578" spans="2:6" x14ac:dyDescent="0.3">
      <c r="B578">
        <v>0.57299999999999995</v>
      </c>
      <c r="C578">
        <v>1.73084030457147</v>
      </c>
      <c r="D578">
        <f t="shared" si="24"/>
        <v>1.7308403045714749</v>
      </c>
      <c r="E578">
        <f t="shared" si="25"/>
        <v>4.8849813083506888E-15</v>
      </c>
      <c r="F578">
        <f t="shared" si="26"/>
        <v>2.886579864025407E-15</v>
      </c>
    </row>
    <row r="579" spans="2:6" x14ac:dyDescent="0.3">
      <c r="B579">
        <v>0.57399999999999995</v>
      </c>
      <c r="C579">
        <v>1.73154321492204</v>
      </c>
      <c r="D579">
        <f t="shared" si="24"/>
        <v>1.7315432149220427</v>
      </c>
      <c r="E579">
        <f t="shared" si="25"/>
        <v>2.6645352591003757E-15</v>
      </c>
      <c r="F579">
        <f t="shared" si="26"/>
        <v>0</v>
      </c>
    </row>
    <row r="580" spans="2:6" x14ac:dyDescent="0.3">
      <c r="B580">
        <v>0.57499999999999996</v>
      </c>
      <c r="C580">
        <v>1.73224868648053</v>
      </c>
      <c r="D580">
        <f t="shared" si="24"/>
        <v>1.7322486864805351</v>
      </c>
      <c r="E580">
        <f t="shared" si="25"/>
        <v>5.1070259132757201E-15</v>
      </c>
      <c r="F580">
        <f t="shared" si="26"/>
        <v>2.886579864025407E-15</v>
      </c>
    </row>
    <row r="581" spans="2:6" x14ac:dyDescent="0.3">
      <c r="B581">
        <v>0.57599999999999996</v>
      </c>
      <c r="C581">
        <v>1.7329567309865701</v>
      </c>
      <c r="D581">
        <f t="shared" si="24"/>
        <v>1.7329567309865797</v>
      </c>
      <c r="E581">
        <f t="shared" si="25"/>
        <v>9.5479180117763462E-15</v>
      </c>
      <c r="F581">
        <f t="shared" si="26"/>
        <v>5.5511151231257827E-15</v>
      </c>
    </row>
    <row r="582" spans="2:6" x14ac:dyDescent="0.3">
      <c r="B582">
        <v>0.57699999999999996</v>
      </c>
      <c r="C582">
        <v>1.73366736026678</v>
      </c>
      <c r="D582">
        <f t="shared" ref="D582:D645" si="27">completeElliptic1($B582*$B582)</f>
        <v>1.7336673602667809</v>
      </c>
      <c r="E582">
        <f t="shared" ref="E582:E645" si="28">$D582-$C582</f>
        <v>0</v>
      </c>
      <c r="F582">
        <f t="shared" ref="F582:F645" si="29">$D582/$C582-1</f>
        <v>0</v>
      </c>
    </row>
    <row r="583" spans="2:6" x14ac:dyDescent="0.3">
      <c r="B583">
        <v>0.57799999999999996</v>
      </c>
      <c r="C583">
        <v>1.7343805862355499</v>
      </c>
      <c r="D583">
        <f t="shared" si="27"/>
        <v>1.7343805862355508</v>
      </c>
      <c r="E583">
        <f t="shared" si="28"/>
        <v>0</v>
      </c>
      <c r="F583">
        <f t="shared" si="29"/>
        <v>0</v>
      </c>
    </row>
    <row r="584" spans="2:6" x14ac:dyDescent="0.3">
      <c r="B584">
        <v>0.57899999999999996</v>
      </c>
      <c r="C584">
        <v>1.7350964208959401</v>
      </c>
      <c r="D584">
        <f t="shared" si="27"/>
        <v>1.7350964208959472</v>
      </c>
      <c r="E584">
        <f t="shared" si="28"/>
        <v>7.1054273576010019E-15</v>
      </c>
      <c r="F584">
        <f t="shared" si="29"/>
        <v>3.9968028886505635E-15</v>
      </c>
    </row>
    <row r="585" spans="2:6" x14ac:dyDescent="0.3">
      <c r="B585">
        <v>0.57999999999999996</v>
      </c>
      <c r="C585">
        <v>1.7358148763405199</v>
      </c>
      <c r="D585">
        <f t="shared" si="27"/>
        <v>1.7358148763405243</v>
      </c>
      <c r="E585">
        <f t="shared" si="28"/>
        <v>4.4408920985006262E-15</v>
      </c>
      <c r="F585">
        <f t="shared" si="29"/>
        <v>2.6645352591003757E-15</v>
      </c>
    </row>
    <row r="586" spans="2:6" x14ac:dyDescent="0.3">
      <c r="B586">
        <v>0.58099999999999996</v>
      </c>
      <c r="C586">
        <v>1.7365359647521901</v>
      </c>
      <c r="D586">
        <f t="shared" si="27"/>
        <v>1.7365359647521912</v>
      </c>
      <c r="E586">
        <f t="shared" si="28"/>
        <v>0</v>
      </c>
      <c r="F586">
        <f t="shared" si="29"/>
        <v>0</v>
      </c>
    </row>
    <row r="587" spans="2:6" x14ac:dyDescent="0.3">
      <c r="B587">
        <v>0.58199999999999996</v>
      </c>
      <c r="C587">
        <v>1.7372596984050801</v>
      </c>
      <c r="D587">
        <f t="shared" si="27"/>
        <v>1.7372596984050819</v>
      </c>
      <c r="E587">
        <f t="shared" si="28"/>
        <v>1.7763568394002505E-15</v>
      </c>
      <c r="F587">
        <f t="shared" si="29"/>
        <v>0</v>
      </c>
    </row>
    <row r="588" spans="2:6" x14ac:dyDescent="0.3">
      <c r="B588">
        <v>0.58299999999999996</v>
      </c>
      <c r="C588">
        <v>1.73798608966543</v>
      </c>
      <c r="D588">
        <f t="shared" si="27"/>
        <v>1.7379860896654369</v>
      </c>
      <c r="E588">
        <f t="shared" si="28"/>
        <v>6.8833827526759706E-15</v>
      </c>
      <c r="F588">
        <f t="shared" si="29"/>
        <v>3.9968028886505635E-15</v>
      </c>
    </row>
    <row r="589" spans="2:6" x14ac:dyDescent="0.3">
      <c r="B589">
        <v>0.58399999999999996</v>
      </c>
      <c r="C589">
        <v>1.7387151509924901</v>
      </c>
      <c r="D589">
        <f t="shared" si="27"/>
        <v>1.7387151509924943</v>
      </c>
      <c r="E589">
        <f t="shared" si="28"/>
        <v>4.2188474935755949E-15</v>
      </c>
      <c r="F589">
        <f t="shared" si="29"/>
        <v>2.4424906541753444E-15</v>
      </c>
    </row>
    <row r="590" spans="2:6" x14ac:dyDescent="0.3">
      <c r="B590">
        <v>0.58499999999999996</v>
      </c>
      <c r="C590">
        <v>1.73944689493939</v>
      </c>
      <c r="D590">
        <f t="shared" si="27"/>
        <v>1.7394468949393902</v>
      </c>
      <c r="E590">
        <f t="shared" si="28"/>
        <v>0</v>
      </c>
      <c r="F590">
        <f t="shared" si="29"/>
        <v>0</v>
      </c>
    </row>
    <row r="591" spans="2:6" x14ac:dyDescent="0.3">
      <c r="B591">
        <v>0.58599999999999997</v>
      </c>
      <c r="C591">
        <v>1.7401813341540699</v>
      </c>
      <c r="D591">
        <f t="shared" si="27"/>
        <v>1.7401813341540739</v>
      </c>
      <c r="E591">
        <f t="shared" si="28"/>
        <v>3.9968028886505635E-15</v>
      </c>
      <c r="F591">
        <f t="shared" si="29"/>
        <v>2.2204460492503131E-15</v>
      </c>
    </row>
    <row r="592" spans="2:6" x14ac:dyDescent="0.3">
      <c r="B592">
        <v>0.58699999999999997</v>
      </c>
      <c r="C592">
        <v>1.7409184813802301</v>
      </c>
      <c r="D592">
        <f t="shared" si="27"/>
        <v>1.7409184813802308</v>
      </c>
      <c r="E592">
        <f t="shared" si="28"/>
        <v>0</v>
      </c>
      <c r="F592">
        <f t="shared" si="29"/>
        <v>0</v>
      </c>
    </row>
    <row r="593" spans="2:6" x14ac:dyDescent="0.3">
      <c r="B593">
        <v>0.58799999999999997</v>
      </c>
      <c r="C593">
        <v>1.7416583494582101</v>
      </c>
      <c r="D593">
        <f t="shared" si="27"/>
        <v>1.7416583494582181</v>
      </c>
      <c r="E593">
        <f t="shared" si="28"/>
        <v>7.9936057773011271E-15</v>
      </c>
      <c r="F593">
        <f t="shared" si="29"/>
        <v>4.6629367034256575E-15</v>
      </c>
    </row>
    <row r="594" spans="2:6" x14ac:dyDescent="0.3">
      <c r="B594">
        <v>0.58899999999999997</v>
      </c>
      <c r="C594">
        <v>1.7424009513260099</v>
      </c>
      <c r="D594">
        <f t="shared" si="27"/>
        <v>1.7424009513260119</v>
      </c>
      <c r="E594">
        <f t="shared" si="28"/>
        <v>1.9984014443252818E-15</v>
      </c>
      <c r="F594">
        <f t="shared" si="29"/>
        <v>0</v>
      </c>
    </row>
    <row r="595" spans="2:6" x14ac:dyDescent="0.3">
      <c r="B595">
        <v>0.59</v>
      </c>
      <c r="C595">
        <v>1.7431463000201599</v>
      </c>
      <c r="D595">
        <f t="shared" si="27"/>
        <v>1.7431463000201657</v>
      </c>
      <c r="E595">
        <f t="shared" si="28"/>
        <v>5.773159728050814E-15</v>
      </c>
      <c r="F595">
        <f t="shared" si="29"/>
        <v>3.3306690738754696E-15</v>
      </c>
    </row>
    <row r="596" spans="2:6" x14ac:dyDescent="0.3">
      <c r="B596">
        <v>0.59099999999999997</v>
      </c>
      <c r="C596">
        <v>1.74389440867678</v>
      </c>
      <c r="D596">
        <f t="shared" si="27"/>
        <v>1.7438944086767818</v>
      </c>
      <c r="E596">
        <f t="shared" si="28"/>
        <v>1.7763568394002505E-15</v>
      </c>
      <c r="F596">
        <f t="shared" si="29"/>
        <v>0</v>
      </c>
    </row>
    <row r="597" spans="2:6" x14ac:dyDescent="0.3">
      <c r="B597">
        <v>0.59199999999999997</v>
      </c>
      <c r="C597">
        <v>1.7446452905324901</v>
      </c>
      <c r="D597">
        <f t="shared" si="27"/>
        <v>1.7446452905324921</v>
      </c>
      <c r="E597">
        <f t="shared" si="28"/>
        <v>1.9984014443252818E-15</v>
      </c>
      <c r="F597">
        <f t="shared" si="29"/>
        <v>0</v>
      </c>
    </row>
    <row r="598" spans="2:6" x14ac:dyDescent="0.3">
      <c r="B598">
        <v>0.59299999999999997</v>
      </c>
      <c r="C598">
        <v>1.7453989589254499</v>
      </c>
      <c r="D598">
        <f t="shared" si="27"/>
        <v>1.7453989589254537</v>
      </c>
      <c r="E598">
        <f t="shared" si="28"/>
        <v>3.7747582837255322E-15</v>
      </c>
      <c r="F598">
        <f t="shared" si="29"/>
        <v>2.2204460492503131E-15</v>
      </c>
    </row>
    <row r="599" spans="2:6" x14ac:dyDescent="0.3">
      <c r="B599">
        <v>0.59399999999999997</v>
      </c>
      <c r="C599">
        <v>1.74615542729635</v>
      </c>
      <c r="D599">
        <f t="shared" si="27"/>
        <v>1.7461554272963555</v>
      </c>
      <c r="E599">
        <f t="shared" si="28"/>
        <v>5.5511151231257827E-15</v>
      </c>
      <c r="F599">
        <f t="shared" si="29"/>
        <v>3.1086244689504383E-15</v>
      </c>
    </row>
    <row r="600" spans="2:6" x14ac:dyDescent="0.3">
      <c r="B600">
        <v>0.59499999999999997</v>
      </c>
      <c r="C600">
        <v>1.7469147091894299</v>
      </c>
      <c r="D600">
        <f t="shared" si="27"/>
        <v>1.7469147091894388</v>
      </c>
      <c r="E600">
        <f t="shared" si="28"/>
        <v>8.8817841970012523E-15</v>
      </c>
      <c r="F600">
        <f t="shared" si="29"/>
        <v>5.1070259132757201E-15</v>
      </c>
    </row>
    <row r="601" spans="2:6" x14ac:dyDescent="0.3">
      <c r="B601">
        <v>0.59599999999999997</v>
      </c>
      <c r="C601">
        <v>1.7476768182535201</v>
      </c>
      <c r="D601">
        <f t="shared" si="27"/>
        <v>1.7476768182535274</v>
      </c>
      <c r="E601">
        <f t="shared" si="28"/>
        <v>7.3274719625260332E-15</v>
      </c>
      <c r="F601">
        <f t="shared" si="29"/>
        <v>4.2188474935755949E-15</v>
      </c>
    </row>
    <row r="602" spans="2:6" x14ac:dyDescent="0.3">
      <c r="B602">
        <v>0.59699999999999998</v>
      </c>
      <c r="C602">
        <v>1.74844176824307</v>
      </c>
      <c r="D602">
        <f t="shared" si="27"/>
        <v>1.7484417682430751</v>
      </c>
      <c r="E602">
        <f t="shared" si="28"/>
        <v>5.1070259132757201E-15</v>
      </c>
      <c r="F602">
        <f t="shared" si="29"/>
        <v>2.886579864025407E-15</v>
      </c>
    </row>
    <row r="603" spans="2:6" x14ac:dyDescent="0.3">
      <c r="B603">
        <v>0.59799999999999998</v>
      </c>
      <c r="C603">
        <v>1.7492095730192201</v>
      </c>
      <c r="D603">
        <f t="shared" si="27"/>
        <v>1.7492095730192219</v>
      </c>
      <c r="E603">
        <f t="shared" si="28"/>
        <v>1.7763568394002505E-15</v>
      </c>
      <c r="F603">
        <f t="shared" si="29"/>
        <v>0</v>
      </c>
    </row>
    <row r="604" spans="2:6" x14ac:dyDescent="0.3">
      <c r="B604">
        <v>0.59899999999999998</v>
      </c>
      <c r="C604">
        <v>1.74998024655086</v>
      </c>
      <c r="D604">
        <f t="shared" si="27"/>
        <v>1.7499802465508667</v>
      </c>
      <c r="E604">
        <f t="shared" si="28"/>
        <v>6.6613381477509392E-15</v>
      </c>
      <c r="F604">
        <f t="shared" si="29"/>
        <v>3.7747582837255322E-15</v>
      </c>
    </row>
    <row r="605" spans="2:6" x14ac:dyDescent="0.3">
      <c r="B605">
        <v>0.6</v>
      </c>
      <c r="C605">
        <v>1.7507538029157499</v>
      </c>
      <c r="D605">
        <f t="shared" si="27"/>
        <v>1.7507538029157523</v>
      </c>
      <c r="E605">
        <f t="shared" si="28"/>
        <v>2.4424906541753444E-15</v>
      </c>
      <c r="F605">
        <f t="shared" si="29"/>
        <v>0</v>
      </c>
    </row>
    <row r="606" spans="2:6" x14ac:dyDescent="0.3">
      <c r="B606">
        <v>0.60099999999999998</v>
      </c>
      <c r="C606">
        <v>1.75153025630156</v>
      </c>
      <c r="D606">
        <f t="shared" si="27"/>
        <v>1.7515302563015642</v>
      </c>
      <c r="E606">
        <f t="shared" si="28"/>
        <v>4.2188474935755949E-15</v>
      </c>
      <c r="F606">
        <f t="shared" si="29"/>
        <v>2.4424906541753444E-15</v>
      </c>
    </row>
    <row r="607" spans="2:6" x14ac:dyDescent="0.3">
      <c r="B607">
        <v>0.60199999999999998</v>
      </c>
      <c r="C607">
        <v>1.7523096210070399</v>
      </c>
      <c r="D607">
        <f t="shared" si="27"/>
        <v>1.7523096210070419</v>
      </c>
      <c r="E607">
        <f t="shared" si="28"/>
        <v>1.9984014443252818E-15</v>
      </c>
      <c r="F607">
        <f t="shared" si="29"/>
        <v>0</v>
      </c>
    </row>
    <row r="608" spans="2:6" x14ac:dyDescent="0.3">
      <c r="B608">
        <v>0.60299999999999998</v>
      </c>
      <c r="C608">
        <v>1.7530919114431001</v>
      </c>
      <c r="D608">
        <f t="shared" si="27"/>
        <v>1.7530919114431083</v>
      </c>
      <c r="E608">
        <f t="shared" si="28"/>
        <v>8.2156503822261584E-15</v>
      </c>
      <c r="F608">
        <f t="shared" si="29"/>
        <v>4.6629367034256575E-15</v>
      </c>
    </row>
    <row r="609" spans="2:6" x14ac:dyDescent="0.3">
      <c r="B609">
        <v>0.60399999999999998</v>
      </c>
      <c r="C609">
        <v>1.753877142134</v>
      </c>
      <c r="D609">
        <f t="shared" si="27"/>
        <v>1.753877142134008</v>
      </c>
      <c r="E609">
        <f t="shared" si="28"/>
        <v>7.9936057773011271E-15</v>
      </c>
      <c r="F609">
        <f t="shared" si="29"/>
        <v>4.6629367034256575E-15</v>
      </c>
    </row>
    <row r="610" spans="2:6" x14ac:dyDescent="0.3">
      <c r="B610">
        <v>0.60499999999999998</v>
      </c>
      <c r="C610">
        <v>1.7546653277184601</v>
      </c>
      <c r="D610">
        <f t="shared" si="27"/>
        <v>1.7546653277184654</v>
      </c>
      <c r="E610">
        <f t="shared" si="28"/>
        <v>5.3290705182007514E-15</v>
      </c>
      <c r="F610">
        <f t="shared" si="29"/>
        <v>3.1086244689504383E-15</v>
      </c>
    </row>
    <row r="611" spans="2:6" x14ac:dyDescent="0.3">
      <c r="B611">
        <v>0.60599999999999998</v>
      </c>
      <c r="C611">
        <v>1.7554564829508501</v>
      </c>
      <c r="D611">
        <f t="shared" si="27"/>
        <v>1.755456482950853</v>
      </c>
      <c r="E611">
        <f t="shared" si="28"/>
        <v>2.886579864025407E-15</v>
      </c>
      <c r="F611">
        <f t="shared" si="29"/>
        <v>0</v>
      </c>
    </row>
    <row r="612" spans="2:6" x14ac:dyDescent="0.3">
      <c r="B612">
        <v>0.60699999999999998</v>
      </c>
      <c r="C612">
        <v>1.75625062270237</v>
      </c>
      <c r="D612">
        <f t="shared" si="27"/>
        <v>1.7562506227023786</v>
      </c>
      <c r="E612">
        <f t="shared" si="28"/>
        <v>8.659739592076221E-15</v>
      </c>
      <c r="F612">
        <f t="shared" si="29"/>
        <v>4.8849813083506888E-15</v>
      </c>
    </row>
    <row r="613" spans="2:6" x14ac:dyDescent="0.3">
      <c r="B613">
        <v>0.60799999999999998</v>
      </c>
      <c r="C613">
        <v>1.75704776196228</v>
      </c>
      <c r="D613">
        <f t="shared" si="27"/>
        <v>1.7570477619622857</v>
      </c>
      <c r="E613">
        <f t="shared" si="28"/>
        <v>5.773159728050814E-15</v>
      </c>
      <c r="F613">
        <f t="shared" si="29"/>
        <v>3.3306690738754696E-15</v>
      </c>
    </row>
    <row r="614" spans="2:6" x14ac:dyDescent="0.3">
      <c r="B614">
        <v>0.60899999999999999</v>
      </c>
      <c r="C614">
        <v>1.7578479158390601</v>
      </c>
      <c r="D614">
        <f t="shared" si="27"/>
        <v>1.7578479158390694</v>
      </c>
      <c r="E614">
        <f t="shared" si="28"/>
        <v>9.3258734068513149E-15</v>
      </c>
      <c r="F614">
        <f t="shared" si="29"/>
        <v>5.3290705182007514E-15</v>
      </c>
    </row>
    <row r="615" spans="2:6" x14ac:dyDescent="0.3">
      <c r="B615">
        <v>0.61</v>
      </c>
      <c r="C615">
        <v>1.7586510995617</v>
      </c>
      <c r="D615">
        <f t="shared" si="27"/>
        <v>1.7586510995617075</v>
      </c>
      <c r="E615">
        <f t="shared" si="28"/>
        <v>7.5495165674510645E-15</v>
      </c>
      <c r="F615">
        <f t="shared" si="29"/>
        <v>4.2188474935755949E-15</v>
      </c>
    </row>
    <row r="616" spans="2:6" x14ac:dyDescent="0.3">
      <c r="B616">
        <v>0.61099999999999999</v>
      </c>
      <c r="C616">
        <v>1.7594573284809101</v>
      </c>
      <c r="D616">
        <f t="shared" si="27"/>
        <v>1.7594573284809096</v>
      </c>
      <c r="E616">
        <f t="shared" si="28"/>
        <v>0</v>
      </c>
      <c r="F616">
        <f t="shared" si="29"/>
        <v>0</v>
      </c>
    </row>
    <row r="617" spans="2:6" x14ac:dyDescent="0.3">
      <c r="B617">
        <v>0.61199999999999999</v>
      </c>
      <c r="C617">
        <v>1.7602666180703801</v>
      </c>
      <c r="D617">
        <f t="shared" si="27"/>
        <v>1.7602666180703817</v>
      </c>
      <c r="E617">
        <f t="shared" si="28"/>
        <v>0</v>
      </c>
      <c r="F617">
        <f t="shared" si="29"/>
        <v>0</v>
      </c>
    </row>
    <row r="618" spans="2:6" x14ac:dyDescent="0.3">
      <c r="B618">
        <v>0.61299999999999999</v>
      </c>
      <c r="C618">
        <v>1.7610789839281</v>
      </c>
      <c r="D618">
        <f t="shared" si="27"/>
        <v>1.7610789839281038</v>
      </c>
      <c r="E618">
        <f t="shared" si="28"/>
        <v>3.7747582837255322E-15</v>
      </c>
      <c r="F618">
        <f t="shared" si="29"/>
        <v>2.2204460492503131E-15</v>
      </c>
    </row>
    <row r="619" spans="2:6" x14ac:dyDescent="0.3">
      <c r="B619">
        <v>0.61399999999999999</v>
      </c>
      <c r="C619">
        <v>1.7618944417776301</v>
      </c>
      <c r="D619">
        <f t="shared" si="27"/>
        <v>1.7618944417776314</v>
      </c>
      <c r="E619">
        <f t="shared" si="28"/>
        <v>0</v>
      </c>
      <c r="F619">
        <f t="shared" si="29"/>
        <v>0</v>
      </c>
    </row>
    <row r="620" spans="2:6" x14ac:dyDescent="0.3">
      <c r="B620">
        <v>0.61499999999999999</v>
      </c>
      <c r="C620">
        <v>1.7627130074694</v>
      </c>
      <c r="D620">
        <f t="shared" si="27"/>
        <v>1.7627130074694055</v>
      </c>
      <c r="E620">
        <f t="shared" si="28"/>
        <v>5.5511151231257827E-15</v>
      </c>
      <c r="F620">
        <f t="shared" si="29"/>
        <v>3.1086244689504383E-15</v>
      </c>
    </row>
    <row r="621" spans="2:6" x14ac:dyDescent="0.3">
      <c r="B621">
        <v>0.61599999999999999</v>
      </c>
      <c r="C621">
        <v>1.76353469698208</v>
      </c>
      <c r="D621">
        <f t="shared" si="27"/>
        <v>1.7635346969820873</v>
      </c>
      <c r="E621">
        <f t="shared" si="28"/>
        <v>7.3274719625260332E-15</v>
      </c>
      <c r="F621">
        <f t="shared" si="29"/>
        <v>4.2188474935755949E-15</v>
      </c>
    </row>
    <row r="622" spans="2:6" x14ac:dyDescent="0.3">
      <c r="B622">
        <v>0.61699999999999999</v>
      </c>
      <c r="C622">
        <v>1.7643595264239</v>
      </c>
      <c r="D622">
        <f t="shared" si="27"/>
        <v>1.7643595264239051</v>
      </c>
      <c r="E622">
        <f t="shared" si="28"/>
        <v>5.1070259132757201E-15</v>
      </c>
      <c r="F622">
        <f t="shared" si="29"/>
        <v>2.886579864025407E-15</v>
      </c>
    </row>
    <row r="623" spans="2:6" x14ac:dyDescent="0.3">
      <c r="B623">
        <v>0.61799999999999999</v>
      </c>
      <c r="C623">
        <v>1.7651875120340199</v>
      </c>
      <c r="D623">
        <f t="shared" si="27"/>
        <v>1.7651875120340224</v>
      </c>
      <c r="E623">
        <f t="shared" si="28"/>
        <v>2.4424906541753444E-15</v>
      </c>
      <c r="F623">
        <f t="shared" si="29"/>
        <v>0</v>
      </c>
    </row>
    <row r="624" spans="2:6" x14ac:dyDescent="0.3">
      <c r="B624">
        <v>0.61899999999999999</v>
      </c>
      <c r="C624">
        <v>1.76601867018392</v>
      </c>
      <c r="D624">
        <f t="shared" si="27"/>
        <v>1.766018670183922</v>
      </c>
      <c r="E624">
        <f t="shared" si="28"/>
        <v>1.9984014443252818E-15</v>
      </c>
      <c r="F624">
        <f t="shared" si="29"/>
        <v>0</v>
      </c>
    </row>
    <row r="625" spans="2:6" x14ac:dyDescent="0.3">
      <c r="B625">
        <v>0.62</v>
      </c>
      <c r="C625">
        <v>1.7668530173788</v>
      </c>
      <c r="D625">
        <f t="shared" si="27"/>
        <v>1.7668530173788091</v>
      </c>
      <c r="E625">
        <f t="shared" si="28"/>
        <v>9.1038288019262836E-15</v>
      </c>
      <c r="F625">
        <f t="shared" si="29"/>
        <v>5.1070259132757201E-15</v>
      </c>
    </row>
    <row r="626" spans="2:6" x14ac:dyDescent="0.3">
      <c r="B626">
        <v>0.621</v>
      </c>
      <c r="C626">
        <v>1.76769057025903</v>
      </c>
      <c r="D626">
        <f t="shared" si="27"/>
        <v>1.7676905702590331</v>
      </c>
      <c r="E626">
        <f t="shared" si="28"/>
        <v>3.1086244689504383E-15</v>
      </c>
      <c r="F626">
        <f t="shared" si="29"/>
        <v>1.7763568394002505E-15</v>
      </c>
    </row>
    <row r="627" spans="2:6" x14ac:dyDescent="0.3">
      <c r="B627">
        <v>0.622</v>
      </c>
      <c r="C627">
        <v>1.7685313456015299</v>
      </c>
      <c r="D627">
        <f t="shared" si="27"/>
        <v>1.7685313456015297</v>
      </c>
      <c r="E627">
        <f t="shared" si="28"/>
        <v>0</v>
      </c>
      <c r="F627">
        <f t="shared" si="29"/>
        <v>0</v>
      </c>
    </row>
    <row r="628" spans="2:6" x14ac:dyDescent="0.3">
      <c r="B628">
        <v>0.623</v>
      </c>
      <c r="C628">
        <v>1.7693753603212701</v>
      </c>
      <c r="D628">
        <f t="shared" si="27"/>
        <v>1.7693753603212792</v>
      </c>
      <c r="E628">
        <f t="shared" si="28"/>
        <v>9.1038288019262836E-15</v>
      </c>
      <c r="F628">
        <f t="shared" si="29"/>
        <v>5.1070259132757201E-15</v>
      </c>
    </row>
    <row r="629" spans="2:6" x14ac:dyDescent="0.3">
      <c r="B629">
        <v>0.624</v>
      </c>
      <c r="C629">
        <v>1.77022263147278</v>
      </c>
      <c r="D629">
        <f t="shared" si="27"/>
        <v>1.7702226314727865</v>
      </c>
      <c r="E629">
        <f t="shared" si="28"/>
        <v>6.4392935428259079E-15</v>
      </c>
      <c r="F629">
        <f t="shared" si="29"/>
        <v>3.5527136788005009E-15</v>
      </c>
    </row>
    <row r="630" spans="2:6" x14ac:dyDescent="0.3">
      <c r="B630">
        <v>0.625</v>
      </c>
      <c r="C630">
        <v>1.7710731762515799</v>
      </c>
      <c r="D630">
        <f t="shared" si="27"/>
        <v>1.7710731762515812</v>
      </c>
      <c r="E630">
        <f t="shared" si="28"/>
        <v>0</v>
      </c>
      <c r="F630">
        <f t="shared" si="29"/>
        <v>0</v>
      </c>
    </row>
    <row r="631" spans="2:6" x14ac:dyDescent="0.3">
      <c r="B631">
        <v>0.626</v>
      </c>
      <c r="C631">
        <v>1.77192701199573</v>
      </c>
      <c r="D631">
        <f t="shared" si="27"/>
        <v>1.7719270119957369</v>
      </c>
      <c r="E631">
        <f t="shared" si="28"/>
        <v>6.8833827526759706E-15</v>
      </c>
      <c r="F631">
        <f t="shared" si="29"/>
        <v>3.7747582837255322E-15</v>
      </c>
    </row>
    <row r="632" spans="2:6" x14ac:dyDescent="0.3">
      <c r="B632">
        <v>0.627</v>
      </c>
      <c r="C632">
        <v>1.77278415618741</v>
      </c>
      <c r="D632">
        <f t="shared" si="27"/>
        <v>1.7727841561874114</v>
      </c>
      <c r="E632">
        <f t="shared" si="28"/>
        <v>0</v>
      </c>
      <c r="F632">
        <f t="shared" si="29"/>
        <v>0</v>
      </c>
    </row>
    <row r="633" spans="2:6" x14ac:dyDescent="0.3">
      <c r="B633">
        <v>0.628</v>
      </c>
      <c r="C633">
        <v>1.7736446264543999</v>
      </c>
      <c r="D633">
        <f t="shared" si="27"/>
        <v>1.773644626454407</v>
      </c>
      <c r="E633">
        <f t="shared" si="28"/>
        <v>7.1054273576010019E-15</v>
      </c>
      <c r="F633">
        <f t="shared" si="29"/>
        <v>3.9968028886505635E-15</v>
      </c>
    </row>
    <row r="634" spans="2:6" x14ac:dyDescent="0.3">
      <c r="B634">
        <v>0.629</v>
      </c>
      <c r="C634">
        <v>1.7745084405717499</v>
      </c>
      <c r="D634">
        <f t="shared" si="27"/>
        <v>1.7745084405717537</v>
      </c>
      <c r="E634">
        <f t="shared" si="28"/>
        <v>3.7747582837255322E-15</v>
      </c>
      <c r="F634">
        <f t="shared" si="29"/>
        <v>2.2204460492503131E-15</v>
      </c>
    </row>
    <row r="635" spans="2:6" x14ac:dyDescent="0.3">
      <c r="B635">
        <v>0.63</v>
      </c>
      <c r="C635">
        <v>1.7753756164633101</v>
      </c>
      <c r="D635">
        <f t="shared" si="27"/>
        <v>1.775375616463313</v>
      </c>
      <c r="E635">
        <f t="shared" si="28"/>
        <v>2.886579864025407E-15</v>
      </c>
      <c r="F635">
        <f t="shared" si="29"/>
        <v>0</v>
      </c>
    </row>
    <row r="636" spans="2:6" x14ac:dyDescent="0.3">
      <c r="B636">
        <v>0.63100000000000001</v>
      </c>
      <c r="C636">
        <v>1.7762461722034</v>
      </c>
      <c r="D636">
        <f t="shared" si="27"/>
        <v>1.7762461722034022</v>
      </c>
      <c r="E636">
        <f t="shared" si="28"/>
        <v>2.2204460492503131E-15</v>
      </c>
      <c r="F636">
        <f t="shared" si="29"/>
        <v>0</v>
      </c>
    </row>
    <row r="637" spans="2:6" x14ac:dyDescent="0.3">
      <c r="B637">
        <v>0.63200000000000001</v>
      </c>
      <c r="C637">
        <v>1.7771201260184399</v>
      </c>
      <c r="D637">
        <f t="shared" si="27"/>
        <v>1.7771201260184437</v>
      </c>
      <c r="E637">
        <f t="shared" si="28"/>
        <v>3.7747582837255322E-15</v>
      </c>
      <c r="F637">
        <f t="shared" si="29"/>
        <v>2.2204460492503131E-15</v>
      </c>
    </row>
    <row r="638" spans="2:6" x14ac:dyDescent="0.3">
      <c r="B638">
        <v>0.63300000000000001</v>
      </c>
      <c r="C638">
        <v>1.77799749628863</v>
      </c>
      <c r="D638">
        <f t="shared" si="27"/>
        <v>1.7779974962886347</v>
      </c>
      <c r="E638">
        <f t="shared" si="28"/>
        <v>4.6629367034256575E-15</v>
      </c>
      <c r="F638">
        <f t="shared" si="29"/>
        <v>2.6645352591003757E-15</v>
      </c>
    </row>
    <row r="639" spans="2:6" x14ac:dyDescent="0.3">
      <c r="B639">
        <v>0.63400000000000001</v>
      </c>
      <c r="C639">
        <v>1.7788783015496401</v>
      </c>
      <c r="D639">
        <f t="shared" si="27"/>
        <v>1.7788783015496401</v>
      </c>
      <c r="E639">
        <f t="shared" si="28"/>
        <v>0</v>
      </c>
      <c r="F639">
        <f t="shared" si="29"/>
        <v>0</v>
      </c>
    </row>
    <row r="640" spans="2:6" x14ac:dyDescent="0.3">
      <c r="B640">
        <v>0.63500000000000001</v>
      </c>
      <c r="C640">
        <v>1.7797625604943099</v>
      </c>
      <c r="D640">
        <f t="shared" si="27"/>
        <v>1.7797625604943115</v>
      </c>
      <c r="E640">
        <f t="shared" si="28"/>
        <v>0</v>
      </c>
      <c r="F640">
        <f t="shared" si="29"/>
        <v>0</v>
      </c>
    </row>
    <row r="641" spans="2:6" x14ac:dyDescent="0.3">
      <c r="B641">
        <v>0.63600000000000001</v>
      </c>
      <c r="C641">
        <v>1.78065029197442</v>
      </c>
      <c r="D641">
        <f t="shared" si="27"/>
        <v>1.7806502919744247</v>
      </c>
      <c r="E641">
        <f t="shared" si="28"/>
        <v>4.6629367034256575E-15</v>
      </c>
      <c r="F641">
        <f t="shared" si="29"/>
        <v>2.6645352591003757E-15</v>
      </c>
    </row>
    <row r="642" spans="2:6" x14ac:dyDescent="0.3">
      <c r="B642">
        <v>0.63700000000000001</v>
      </c>
      <c r="C642">
        <v>1.7815415150024401</v>
      </c>
      <c r="D642">
        <f t="shared" si="27"/>
        <v>1.781541515002447</v>
      </c>
      <c r="E642">
        <f t="shared" si="28"/>
        <v>6.8833827526759706E-15</v>
      </c>
      <c r="F642">
        <f t="shared" si="29"/>
        <v>3.7747582837255322E-15</v>
      </c>
    </row>
    <row r="643" spans="2:6" x14ac:dyDescent="0.3">
      <c r="B643">
        <v>0.63800000000000001</v>
      </c>
      <c r="C643">
        <v>1.7824362487533201</v>
      </c>
      <c r="D643">
        <f t="shared" si="27"/>
        <v>1.7824362487533241</v>
      </c>
      <c r="E643">
        <f t="shared" si="28"/>
        <v>3.9968028886505635E-15</v>
      </c>
      <c r="F643">
        <f t="shared" si="29"/>
        <v>2.2204460492503131E-15</v>
      </c>
    </row>
    <row r="644" spans="2:6" x14ac:dyDescent="0.3">
      <c r="B644">
        <v>0.63900000000000001</v>
      </c>
      <c r="C644">
        <v>1.7833345125662901</v>
      </c>
      <c r="D644">
        <f t="shared" si="27"/>
        <v>1.7833345125662967</v>
      </c>
      <c r="E644">
        <f t="shared" si="28"/>
        <v>6.6613381477509392E-15</v>
      </c>
      <c r="F644">
        <f t="shared" si="29"/>
        <v>3.7747582837255322E-15</v>
      </c>
    </row>
    <row r="645" spans="2:6" x14ac:dyDescent="0.3">
      <c r="B645">
        <v>0.64</v>
      </c>
      <c r="C645">
        <v>1.78423632594673</v>
      </c>
      <c r="D645">
        <f t="shared" si="27"/>
        <v>1.784236325946738</v>
      </c>
      <c r="E645">
        <f t="shared" si="28"/>
        <v>7.9936057773011271E-15</v>
      </c>
      <c r="F645">
        <f t="shared" si="29"/>
        <v>4.4408920985006262E-15</v>
      </c>
    </row>
    <row r="646" spans="2:6" x14ac:dyDescent="0.3">
      <c r="B646">
        <v>0.64100000000000001</v>
      </c>
      <c r="C646">
        <v>1.7851417085680199</v>
      </c>
      <c r="D646">
        <f t="shared" ref="D646:D709" si="30">completeElliptic1($B646*$B646)</f>
        <v>1.7851417085680201</v>
      </c>
      <c r="E646">
        <f t="shared" ref="E646:E709" si="31">$D646-$C646</f>
        <v>0</v>
      </c>
      <c r="F646">
        <f t="shared" ref="F646:F709" si="32">$D646/$C646-1</f>
        <v>0</v>
      </c>
    </row>
    <row r="647" spans="2:6" x14ac:dyDescent="0.3">
      <c r="B647">
        <v>0.64200000000000002</v>
      </c>
      <c r="C647">
        <v>1.7860506802734</v>
      </c>
      <c r="D647">
        <f t="shared" si="30"/>
        <v>1.7860506802734055</v>
      </c>
      <c r="E647">
        <f t="shared" si="31"/>
        <v>5.5511151231257827E-15</v>
      </c>
      <c r="F647">
        <f t="shared" si="32"/>
        <v>3.1086244689504383E-15</v>
      </c>
    </row>
    <row r="648" spans="2:6" x14ac:dyDescent="0.3">
      <c r="B648">
        <v>0.64300000000000002</v>
      </c>
      <c r="C648">
        <v>1.78696326107796</v>
      </c>
      <c r="D648">
        <f t="shared" si="30"/>
        <v>1.7869632610779642</v>
      </c>
      <c r="E648">
        <f t="shared" si="31"/>
        <v>4.2188474935755949E-15</v>
      </c>
      <c r="F648">
        <f t="shared" si="32"/>
        <v>2.4424906541753444E-15</v>
      </c>
    </row>
    <row r="649" spans="2:6" x14ac:dyDescent="0.3">
      <c r="B649">
        <v>0.64400000000000002</v>
      </c>
      <c r="C649">
        <v>1.7878794711705199</v>
      </c>
      <c r="D649">
        <f t="shared" si="30"/>
        <v>1.7878794711705213</v>
      </c>
      <c r="E649">
        <f t="shared" si="31"/>
        <v>0</v>
      </c>
      <c r="F649">
        <f t="shared" si="32"/>
        <v>0</v>
      </c>
    </row>
    <row r="650" spans="2:6" x14ac:dyDescent="0.3">
      <c r="B650">
        <v>0.64500000000000002</v>
      </c>
      <c r="C650">
        <v>1.78879933091562</v>
      </c>
      <c r="D650">
        <f t="shared" si="30"/>
        <v>1.7887993309156269</v>
      </c>
      <c r="E650">
        <f t="shared" si="31"/>
        <v>6.8833827526759706E-15</v>
      </c>
      <c r="F650">
        <f t="shared" si="32"/>
        <v>3.7747582837255322E-15</v>
      </c>
    </row>
    <row r="651" spans="2:6" x14ac:dyDescent="0.3">
      <c r="B651">
        <v>0.64600000000000002</v>
      </c>
      <c r="C651">
        <v>1.78972286085556</v>
      </c>
      <c r="D651">
        <f t="shared" si="30"/>
        <v>1.7897228608555598</v>
      </c>
      <c r="E651">
        <f t="shared" si="31"/>
        <v>0</v>
      </c>
      <c r="F651">
        <f t="shared" si="32"/>
        <v>0</v>
      </c>
    </row>
    <row r="652" spans="2:6" x14ac:dyDescent="0.3">
      <c r="B652">
        <v>0.64700000000000002</v>
      </c>
      <c r="C652">
        <v>1.7906500817123501</v>
      </c>
      <c r="D652">
        <f t="shared" si="30"/>
        <v>1.7906500817123558</v>
      </c>
      <c r="E652">
        <f t="shared" si="31"/>
        <v>5.773159728050814E-15</v>
      </c>
      <c r="F652">
        <f t="shared" si="32"/>
        <v>3.3306690738754696E-15</v>
      </c>
    </row>
    <row r="653" spans="2:6" x14ac:dyDescent="0.3">
      <c r="B653">
        <v>0.64800000000000002</v>
      </c>
      <c r="C653">
        <v>1.7915810143898601</v>
      </c>
      <c r="D653">
        <f t="shared" si="30"/>
        <v>1.7915810143898658</v>
      </c>
      <c r="E653">
        <f t="shared" si="31"/>
        <v>5.773159728050814E-15</v>
      </c>
      <c r="F653">
        <f t="shared" si="32"/>
        <v>3.3306690738754696E-15</v>
      </c>
    </row>
    <row r="654" spans="2:6" x14ac:dyDescent="0.3">
      <c r="B654">
        <v>0.64900000000000002</v>
      </c>
      <c r="C654">
        <v>1.7925156799758399</v>
      </c>
      <c r="D654">
        <f t="shared" si="30"/>
        <v>1.7925156799758446</v>
      </c>
      <c r="E654">
        <f t="shared" si="31"/>
        <v>4.6629367034256575E-15</v>
      </c>
      <c r="F654">
        <f t="shared" si="32"/>
        <v>2.6645352591003757E-15</v>
      </c>
    </row>
    <row r="655" spans="2:6" x14ac:dyDescent="0.3">
      <c r="B655">
        <v>0.65</v>
      </c>
      <c r="C655">
        <v>1.79345409974406</v>
      </c>
      <c r="D655">
        <f t="shared" si="30"/>
        <v>1.7934540997440684</v>
      </c>
      <c r="E655">
        <f t="shared" si="31"/>
        <v>8.4376949871511897E-15</v>
      </c>
      <c r="F655">
        <f t="shared" si="32"/>
        <v>4.6629367034256575E-15</v>
      </c>
    </row>
    <row r="656" spans="2:6" x14ac:dyDescent="0.3">
      <c r="B656">
        <v>0.65100000000000002</v>
      </c>
      <c r="C656">
        <v>1.79439629515648</v>
      </c>
      <c r="D656">
        <f t="shared" si="30"/>
        <v>1.7943962951564838</v>
      </c>
      <c r="E656">
        <f t="shared" si="31"/>
        <v>3.7747582837255322E-15</v>
      </c>
      <c r="F656">
        <f t="shared" si="32"/>
        <v>1.9984014443252818E-15</v>
      </c>
    </row>
    <row r="657" spans="2:6" x14ac:dyDescent="0.3">
      <c r="B657">
        <v>0.65200000000000002</v>
      </c>
      <c r="C657">
        <v>1.79534228786538</v>
      </c>
      <c r="D657">
        <f t="shared" si="30"/>
        <v>1.7953422878653871</v>
      </c>
      <c r="E657">
        <f t="shared" si="31"/>
        <v>7.1054273576010019E-15</v>
      </c>
      <c r="F657">
        <f t="shared" si="32"/>
        <v>3.9968028886505635E-15</v>
      </c>
    </row>
    <row r="658" spans="2:6" x14ac:dyDescent="0.3">
      <c r="B658">
        <v>0.65300000000000002</v>
      </c>
      <c r="C658">
        <v>1.79629209971563</v>
      </c>
      <c r="D658">
        <f t="shared" si="30"/>
        <v>1.796292099715636</v>
      </c>
      <c r="E658">
        <f t="shared" si="31"/>
        <v>5.9952043329758453E-15</v>
      </c>
      <c r="F658">
        <f t="shared" si="32"/>
        <v>3.3306690738754696E-15</v>
      </c>
    </row>
    <row r="659" spans="2:6" x14ac:dyDescent="0.3">
      <c r="B659">
        <v>0.65400000000000003</v>
      </c>
      <c r="C659">
        <v>1.7972457527468899</v>
      </c>
      <c r="D659">
        <f t="shared" si="30"/>
        <v>1.7972457527468919</v>
      </c>
      <c r="E659">
        <f t="shared" si="31"/>
        <v>1.9984014443252818E-15</v>
      </c>
      <c r="F659">
        <f t="shared" si="32"/>
        <v>0</v>
      </c>
    </row>
    <row r="660" spans="2:6" x14ac:dyDescent="0.3">
      <c r="B660">
        <v>0.65500000000000003</v>
      </c>
      <c r="C660">
        <v>1.79820326919589</v>
      </c>
      <c r="D660">
        <f t="shared" si="30"/>
        <v>1.7982032691958978</v>
      </c>
      <c r="E660">
        <f t="shared" si="31"/>
        <v>7.7715611723760958E-15</v>
      </c>
      <c r="F660">
        <f t="shared" si="32"/>
        <v>4.2188474935755949E-15</v>
      </c>
    </row>
    <row r="661" spans="2:6" x14ac:dyDescent="0.3">
      <c r="B661">
        <v>0.65600000000000003</v>
      </c>
      <c r="C661">
        <v>1.7991646714987799</v>
      </c>
      <c r="D661">
        <f t="shared" si="30"/>
        <v>1.7991646714987863</v>
      </c>
      <c r="E661">
        <f t="shared" si="31"/>
        <v>6.4392935428259079E-15</v>
      </c>
      <c r="F661">
        <f t="shared" si="32"/>
        <v>3.5527136788005009E-15</v>
      </c>
    </row>
    <row r="662" spans="2:6" x14ac:dyDescent="0.3">
      <c r="B662">
        <v>0.65700000000000003</v>
      </c>
      <c r="C662">
        <v>1.80012998229342</v>
      </c>
      <c r="D662">
        <f t="shared" si="30"/>
        <v>1.8001299822934227</v>
      </c>
      <c r="E662">
        <f t="shared" si="31"/>
        <v>2.6645352591003757E-15</v>
      </c>
      <c r="F662">
        <f t="shared" si="32"/>
        <v>0</v>
      </c>
    </row>
    <row r="663" spans="2:6" x14ac:dyDescent="0.3">
      <c r="B663">
        <v>0.65800000000000003</v>
      </c>
      <c r="C663">
        <v>1.8010992244217801</v>
      </c>
      <c r="D663">
        <f t="shared" si="30"/>
        <v>1.8010992244217841</v>
      </c>
      <c r="E663">
        <f t="shared" si="31"/>
        <v>3.9968028886505635E-15</v>
      </c>
      <c r="F663">
        <f t="shared" si="32"/>
        <v>2.2204460492503131E-15</v>
      </c>
    </row>
    <row r="664" spans="2:6" x14ac:dyDescent="0.3">
      <c r="B664">
        <v>0.65900000000000003</v>
      </c>
      <c r="C664">
        <v>1.80207242093237</v>
      </c>
      <c r="D664">
        <f t="shared" si="30"/>
        <v>1.8020724209323713</v>
      </c>
      <c r="E664">
        <f t="shared" si="31"/>
        <v>0</v>
      </c>
      <c r="F664">
        <f t="shared" si="32"/>
        <v>0</v>
      </c>
    </row>
    <row r="665" spans="2:6" x14ac:dyDescent="0.3">
      <c r="B665">
        <v>0.66</v>
      </c>
      <c r="C665">
        <v>1.8030495950826499</v>
      </c>
      <c r="D665">
        <f t="shared" si="30"/>
        <v>1.8030495950826575</v>
      </c>
      <c r="E665">
        <f t="shared" si="31"/>
        <v>7.5495165674510645E-15</v>
      </c>
      <c r="F665">
        <f t="shared" si="32"/>
        <v>4.2188474935755949E-15</v>
      </c>
    </row>
    <row r="666" spans="2:6" x14ac:dyDescent="0.3">
      <c r="B666">
        <v>0.66100000000000003</v>
      </c>
      <c r="C666">
        <v>1.8040307703415699</v>
      </c>
      <c r="D666">
        <f t="shared" si="30"/>
        <v>1.8040307703415728</v>
      </c>
      <c r="E666">
        <f t="shared" si="31"/>
        <v>2.886579864025407E-15</v>
      </c>
      <c r="F666">
        <f t="shared" si="32"/>
        <v>0</v>
      </c>
    </row>
    <row r="667" spans="2:6" x14ac:dyDescent="0.3">
      <c r="B667">
        <v>0.66200000000000003</v>
      </c>
      <c r="C667">
        <v>1.8050159703920201</v>
      </c>
      <c r="D667">
        <f t="shared" si="30"/>
        <v>1.8050159703920268</v>
      </c>
      <c r="E667">
        <f t="shared" si="31"/>
        <v>6.6613381477509392E-15</v>
      </c>
      <c r="F667">
        <f t="shared" si="32"/>
        <v>3.7747582837255322E-15</v>
      </c>
    </row>
    <row r="668" spans="2:6" x14ac:dyDescent="0.3">
      <c r="B668">
        <v>0.66300000000000003</v>
      </c>
      <c r="C668">
        <v>1.8060052191334599</v>
      </c>
      <c r="D668">
        <f t="shared" si="30"/>
        <v>1.8060052191334677</v>
      </c>
      <c r="E668">
        <f t="shared" si="31"/>
        <v>7.7715611723760958E-15</v>
      </c>
      <c r="F668">
        <f t="shared" si="32"/>
        <v>4.2188474935755949E-15</v>
      </c>
    </row>
    <row r="669" spans="2:6" x14ac:dyDescent="0.3">
      <c r="B669">
        <v>0.66400000000000003</v>
      </c>
      <c r="C669">
        <v>1.80699854068447</v>
      </c>
      <c r="D669">
        <f t="shared" si="30"/>
        <v>1.8069985406844795</v>
      </c>
      <c r="E669">
        <f t="shared" si="31"/>
        <v>9.5479180117763462E-15</v>
      </c>
      <c r="F669">
        <f t="shared" si="32"/>
        <v>5.3290705182007514E-15</v>
      </c>
    </row>
    <row r="670" spans="2:6" x14ac:dyDescent="0.3">
      <c r="B670">
        <v>0.66500000000000004</v>
      </c>
      <c r="C670">
        <v>1.80799595938542</v>
      </c>
      <c r="D670">
        <f t="shared" si="30"/>
        <v>1.8079959593854207</v>
      </c>
      <c r="E670">
        <f t="shared" si="31"/>
        <v>0</v>
      </c>
      <c r="F670">
        <f t="shared" si="32"/>
        <v>0</v>
      </c>
    </row>
    <row r="671" spans="2:6" x14ac:dyDescent="0.3">
      <c r="B671">
        <v>0.66600000000000004</v>
      </c>
      <c r="C671">
        <v>1.80899749980109</v>
      </c>
      <c r="D671">
        <f t="shared" si="30"/>
        <v>1.8089974998010978</v>
      </c>
      <c r="E671">
        <f t="shared" si="31"/>
        <v>7.7715611723760958E-15</v>
      </c>
      <c r="F671">
        <f t="shared" si="32"/>
        <v>4.2188474935755949E-15</v>
      </c>
    </row>
    <row r="672" spans="2:6" x14ac:dyDescent="0.3">
      <c r="B672">
        <v>0.66700000000000004</v>
      </c>
      <c r="C672">
        <v>1.81000318672348</v>
      </c>
      <c r="D672">
        <f t="shared" si="30"/>
        <v>1.8100031867234856</v>
      </c>
      <c r="E672">
        <f t="shared" si="31"/>
        <v>5.5511151231257827E-15</v>
      </c>
      <c r="F672">
        <f t="shared" si="32"/>
        <v>3.1086244689504383E-15</v>
      </c>
    </row>
    <row r="673" spans="2:6" x14ac:dyDescent="0.3">
      <c r="B673">
        <v>0.66800000000000004</v>
      </c>
      <c r="C673">
        <v>1.8110130451744799</v>
      </c>
      <c r="D673">
        <f t="shared" si="30"/>
        <v>1.8110130451744828</v>
      </c>
      <c r="E673">
        <f t="shared" si="31"/>
        <v>2.886579864025407E-15</v>
      </c>
      <c r="F673">
        <f t="shared" si="32"/>
        <v>0</v>
      </c>
    </row>
    <row r="674" spans="2:6" x14ac:dyDescent="0.3">
      <c r="B674">
        <v>0.66900000000000004</v>
      </c>
      <c r="C674">
        <v>1.8120271004087101</v>
      </c>
      <c r="D674">
        <f t="shared" si="30"/>
        <v>1.8120271004087127</v>
      </c>
      <c r="E674">
        <f t="shared" si="31"/>
        <v>2.6645352591003757E-15</v>
      </c>
      <c r="F674">
        <f t="shared" si="32"/>
        <v>0</v>
      </c>
    </row>
    <row r="675" spans="2:6" x14ac:dyDescent="0.3">
      <c r="B675">
        <v>0.67</v>
      </c>
      <c r="C675">
        <v>1.81304537791636</v>
      </c>
      <c r="D675">
        <f t="shared" si="30"/>
        <v>1.8130453779163667</v>
      </c>
      <c r="E675">
        <f t="shared" si="31"/>
        <v>6.6613381477509392E-15</v>
      </c>
      <c r="F675">
        <f t="shared" si="32"/>
        <v>3.7747582837255322E-15</v>
      </c>
    </row>
    <row r="676" spans="2:6" x14ac:dyDescent="0.3">
      <c r="B676">
        <v>0.67100000000000004</v>
      </c>
      <c r="C676">
        <v>1.81406790342608</v>
      </c>
      <c r="D676">
        <f t="shared" si="30"/>
        <v>1.8140679034260889</v>
      </c>
      <c r="E676">
        <f t="shared" si="31"/>
        <v>8.8817841970012523E-15</v>
      </c>
      <c r="F676">
        <f t="shared" si="32"/>
        <v>4.8849813083506888E-15</v>
      </c>
    </row>
    <row r="677" spans="2:6" x14ac:dyDescent="0.3">
      <c r="B677">
        <v>0.67200000000000004</v>
      </c>
      <c r="C677">
        <v>1.8150947029079001</v>
      </c>
      <c r="D677">
        <f t="shared" si="30"/>
        <v>1.8150947029079083</v>
      </c>
      <c r="E677">
        <f t="shared" si="31"/>
        <v>8.2156503822261584E-15</v>
      </c>
      <c r="F677">
        <f t="shared" si="32"/>
        <v>4.4408920985006262E-15</v>
      </c>
    </row>
    <row r="678" spans="2:6" x14ac:dyDescent="0.3">
      <c r="B678">
        <v>0.67300000000000004</v>
      </c>
      <c r="C678">
        <v>1.8161258025762099</v>
      </c>
      <c r="D678">
        <f t="shared" si="30"/>
        <v>1.8161258025762133</v>
      </c>
      <c r="E678">
        <f t="shared" si="31"/>
        <v>3.3306690738754696E-15</v>
      </c>
      <c r="F678">
        <f t="shared" si="32"/>
        <v>1.7763568394002505E-15</v>
      </c>
    </row>
    <row r="679" spans="2:6" x14ac:dyDescent="0.3">
      <c r="B679">
        <v>0.67400000000000004</v>
      </c>
      <c r="C679">
        <v>1.8171612288927701</v>
      </c>
      <c r="D679">
        <f t="shared" si="30"/>
        <v>1.8171612288927717</v>
      </c>
      <c r="E679">
        <f t="shared" si="31"/>
        <v>0</v>
      </c>
      <c r="F679">
        <f t="shared" si="32"/>
        <v>0</v>
      </c>
    </row>
    <row r="680" spans="2:6" x14ac:dyDescent="0.3">
      <c r="B680">
        <v>0.67500000000000004</v>
      </c>
      <c r="C680">
        <v>1.8182010085697999</v>
      </c>
      <c r="D680">
        <f t="shared" si="30"/>
        <v>1.818201008569801</v>
      </c>
      <c r="E680">
        <f t="shared" si="31"/>
        <v>0</v>
      </c>
      <c r="F680">
        <f t="shared" si="32"/>
        <v>0</v>
      </c>
    </row>
    <row r="681" spans="2:6" x14ac:dyDescent="0.3">
      <c r="B681">
        <v>0.67600000000000005</v>
      </c>
      <c r="C681">
        <v>1.8192451685730799</v>
      </c>
      <c r="D681">
        <f t="shared" si="30"/>
        <v>1.8192451685730844</v>
      </c>
      <c r="E681">
        <f t="shared" si="31"/>
        <v>4.4408920985006262E-15</v>
      </c>
      <c r="F681">
        <f t="shared" si="32"/>
        <v>2.4424906541753444E-15</v>
      </c>
    </row>
    <row r="682" spans="2:6" x14ac:dyDescent="0.3">
      <c r="B682">
        <v>0.67700000000000005</v>
      </c>
      <c r="C682">
        <v>1.8202937361251299</v>
      </c>
      <c r="D682">
        <f t="shared" si="30"/>
        <v>1.8202937361251319</v>
      </c>
      <c r="E682">
        <f t="shared" si="31"/>
        <v>1.9984014443252818E-15</v>
      </c>
      <c r="F682">
        <f t="shared" si="32"/>
        <v>0</v>
      </c>
    </row>
    <row r="683" spans="2:6" x14ac:dyDescent="0.3">
      <c r="B683">
        <v>0.67800000000000005</v>
      </c>
      <c r="C683">
        <v>1.8213467387083899</v>
      </c>
      <c r="D683">
        <f t="shared" si="30"/>
        <v>1.8213467387083968</v>
      </c>
      <c r="E683">
        <f t="shared" si="31"/>
        <v>6.8833827526759706E-15</v>
      </c>
      <c r="F683">
        <f t="shared" si="32"/>
        <v>3.7747582837255322E-15</v>
      </c>
    </row>
    <row r="684" spans="2:6" x14ac:dyDescent="0.3">
      <c r="B684">
        <v>0.67900000000000005</v>
      </c>
      <c r="C684">
        <v>1.82240420406853</v>
      </c>
      <c r="D684">
        <f t="shared" si="30"/>
        <v>1.8224042040685384</v>
      </c>
      <c r="E684">
        <f t="shared" si="31"/>
        <v>8.4376949871511897E-15</v>
      </c>
      <c r="F684">
        <f t="shared" si="32"/>
        <v>4.6629367034256575E-15</v>
      </c>
    </row>
    <row r="685" spans="2:6" x14ac:dyDescent="0.3">
      <c r="B685">
        <v>0.68</v>
      </c>
      <c r="C685">
        <v>1.82346616021773</v>
      </c>
      <c r="D685">
        <f t="shared" si="30"/>
        <v>1.8234661602177384</v>
      </c>
      <c r="E685">
        <f t="shared" si="31"/>
        <v>8.4376949871511897E-15</v>
      </c>
      <c r="F685">
        <f t="shared" si="32"/>
        <v>4.6629367034256575E-15</v>
      </c>
    </row>
    <row r="686" spans="2:6" x14ac:dyDescent="0.3">
      <c r="B686">
        <v>0.68100000000000005</v>
      </c>
      <c r="C686">
        <v>1.82453263543806</v>
      </c>
      <c r="D686">
        <f t="shared" si="30"/>
        <v>1.8245326354380658</v>
      </c>
      <c r="E686">
        <f t="shared" si="31"/>
        <v>5.773159728050814E-15</v>
      </c>
      <c r="F686">
        <f t="shared" si="32"/>
        <v>3.1086244689504383E-15</v>
      </c>
    </row>
    <row r="687" spans="2:6" x14ac:dyDescent="0.3">
      <c r="B687">
        <v>0.68200000000000005</v>
      </c>
      <c r="C687">
        <v>1.8256036582849</v>
      </c>
      <c r="D687">
        <f t="shared" si="30"/>
        <v>1.8256036582849007</v>
      </c>
      <c r="E687">
        <f t="shared" si="31"/>
        <v>0</v>
      </c>
      <c r="F687">
        <f t="shared" si="32"/>
        <v>0</v>
      </c>
    </row>
    <row r="688" spans="2:6" x14ac:dyDescent="0.3">
      <c r="B688">
        <v>0.68300000000000005</v>
      </c>
      <c r="C688">
        <v>1.8266792575904001</v>
      </c>
      <c r="D688">
        <f t="shared" si="30"/>
        <v>1.8266792575904078</v>
      </c>
      <c r="E688">
        <f t="shared" si="31"/>
        <v>7.7715611723760958E-15</v>
      </c>
      <c r="F688">
        <f t="shared" si="32"/>
        <v>4.2188474935755949E-15</v>
      </c>
    </row>
    <row r="689" spans="2:6" x14ac:dyDescent="0.3">
      <c r="B689">
        <v>0.68400000000000005</v>
      </c>
      <c r="C689">
        <v>1.8277594624670599</v>
      </c>
      <c r="D689">
        <f t="shared" si="30"/>
        <v>1.8277594624670659</v>
      </c>
      <c r="E689">
        <f t="shared" si="31"/>
        <v>5.9952043329758453E-15</v>
      </c>
      <c r="F689">
        <f t="shared" si="32"/>
        <v>3.3306690738754696E-15</v>
      </c>
    </row>
    <row r="690" spans="2:6" x14ac:dyDescent="0.3">
      <c r="B690">
        <v>0.68500000000000005</v>
      </c>
      <c r="C690">
        <v>1.8288443023112499</v>
      </c>
      <c r="D690">
        <f t="shared" si="30"/>
        <v>1.8288443023112562</v>
      </c>
      <c r="E690">
        <f t="shared" si="31"/>
        <v>6.2172489379008766E-15</v>
      </c>
      <c r="F690">
        <f t="shared" si="32"/>
        <v>3.3306690738754696E-15</v>
      </c>
    </row>
    <row r="691" spans="2:6" x14ac:dyDescent="0.3">
      <c r="B691">
        <v>0.68600000000000005</v>
      </c>
      <c r="C691">
        <v>1.8299338068069</v>
      </c>
      <c r="D691">
        <f t="shared" si="30"/>
        <v>1.8299338068069051</v>
      </c>
      <c r="E691">
        <f t="shared" si="31"/>
        <v>5.1070259132757201E-15</v>
      </c>
      <c r="F691">
        <f t="shared" si="32"/>
        <v>2.886579864025407E-15</v>
      </c>
    </row>
    <row r="692" spans="2:6" x14ac:dyDescent="0.3">
      <c r="B692">
        <v>0.68700000000000006</v>
      </c>
      <c r="C692">
        <v>1.8310280059291799</v>
      </c>
      <c r="D692">
        <f t="shared" si="30"/>
        <v>1.8310280059291866</v>
      </c>
      <c r="E692">
        <f t="shared" si="31"/>
        <v>6.6613381477509392E-15</v>
      </c>
      <c r="F692">
        <f t="shared" si="32"/>
        <v>3.5527136788005009E-15</v>
      </c>
    </row>
    <row r="693" spans="2:6" x14ac:dyDescent="0.3">
      <c r="B693">
        <v>0.68799999999999994</v>
      </c>
      <c r="C693">
        <v>1.8321269299482801</v>
      </c>
      <c r="D693">
        <f t="shared" si="30"/>
        <v>1.8321269299482854</v>
      </c>
      <c r="E693">
        <f t="shared" si="31"/>
        <v>5.3290705182007514E-15</v>
      </c>
      <c r="F693">
        <f t="shared" si="32"/>
        <v>2.886579864025407E-15</v>
      </c>
    </row>
    <row r="694" spans="2:6" x14ac:dyDescent="0.3">
      <c r="B694">
        <v>0.68899999999999995</v>
      </c>
      <c r="C694">
        <v>1.83323060943321</v>
      </c>
      <c r="D694">
        <f t="shared" si="30"/>
        <v>1.8332306094332196</v>
      </c>
      <c r="E694">
        <f t="shared" si="31"/>
        <v>9.5479180117763462E-15</v>
      </c>
      <c r="F694">
        <f t="shared" si="32"/>
        <v>5.1070259132757201E-15</v>
      </c>
    </row>
    <row r="695" spans="2:6" x14ac:dyDescent="0.3">
      <c r="B695">
        <v>0.69</v>
      </c>
      <c r="C695">
        <v>1.83433907525572</v>
      </c>
      <c r="D695">
        <f t="shared" si="30"/>
        <v>1.8343390752557251</v>
      </c>
      <c r="E695">
        <f t="shared" si="31"/>
        <v>5.1070259132757201E-15</v>
      </c>
      <c r="F695">
        <f t="shared" si="32"/>
        <v>2.886579864025407E-15</v>
      </c>
    </row>
    <row r="696" spans="2:6" x14ac:dyDescent="0.3">
      <c r="B696">
        <v>0.69099999999999995</v>
      </c>
      <c r="C696">
        <v>1.8354523585942</v>
      </c>
      <c r="D696">
        <f t="shared" si="30"/>
        <v>1.8354523585942042</v>
      </c>
      <c r="E696">
        <f t="shared" si="31"/>
        <v>4.2188474935755949E-15</v>
      </c>
      <c r="F696">
        <f t="shared" si="32"/>
        <v>2.2204460492503131E-15</v>
      </c>
    </row>
    <row r="697" spans="2:6" x14ac:dyDescent="0.3">
      <c r="B697">
        <v>0.69199999999999995</v>
      </c>
      <c r="C697">
        <v>1.8365704909377301</v>
      </c>
      <c r="D697">
        <f t="shared" si="30"/>
        <v>1.8365704909377381</v>
      </c>
      <c r="E697">
        <f t="shared" si="31"/>
        <v>7.9936057773011271E-15</v>
      </c>
      <c r="F697">
        <f t="shared" si="32"/>
        <v>4.4408920985006262E-15</v>
      </c>
    </row>
    <row r="698" spans="2:6" x14ac:dyDescent="0.3">
      <c r="B698">
        <v>0.69299999999999995</v>
      </c>
      <c r="C698">
        <v>1.8376935040901601</v>
      </c>
      <c r="D698">
        <f t="shared" si="30"/>
        <v>1.8376935040901652</v>
      </c>
      <c r="E698">
        <f t="shared" si="31"/>
        <v>5.1070259132757201E-15</v>
      </c>
      <c r="F698">
        <f t="shared" si="32"/>
        <v>2.886579864025407E-15</v>
      </c>
    </row>
    <row r="699" spans="2:6" x14ac:dyDescent="0.3">
      <c r="B699">
        <v>0.69399999999999995</v>
      </c>
      <c r="C699">
        <v>1.8388214301742201</v>
      </c>
      <c r="D699">
        <f t="shared" si="30"/>
        <v>1.8388214301742267</v>
      </c>
      <c r="E699">
        <f t="shared" si="31"/>
        <v>6.6613381477509392E-15</v>
      </c>
      <c r="F699">
        <f t="shared" si="32"/>
        <v>3.5527136788005009E-15</v>
      </c>
    </row>
    <row r="700" spans="2:6" x14ac:dyDescent="0.3">
      <c r="B700">
        <v>0.69499999999999995</v>
      </c>
      <c r="C700">
        <v>1.83995430163577</v>
      </c>
      <c r="D700">
        <f t="shared" si="30"/>
        <v>1.8399543016357791</v>
      </c>
      <c r="E700">
        <f t="shared" si="31"/>
        <v>9.1038288019262836E-15</v>
      </c>
      <c r="F700">
        <f t="shared" si="32"/>
        <v>4.8849813083506888E-15</v>
      </c>
    </row>
    <row r="701" spans="2:6" x14ac:dyDescent="0.3">
      <c r="B701">
        <v>0.69599999999999995</v>
      </c>
      <c r="C701">
        <v>1.84109215124807</v>
      </c>
      <c r="D701">
        <f t="shared" si="30"/>
        <v>1.8410921512480787</v>
      </c>
      <c r="E701">
        <f t="shared" si="31"/>
        <v>8.659739592076221E-15</v>
      </c>
      <c r="F701">
        <f t="shared" si="32"/>
        <v>4.6629367034256575E-15</v>
      </c>
    </row>
    <row r="702" spans="2:6" x14ac:dyDescent="0.3">
      <c r="B702">
        <v>0.69699999999999995</v>
      </c>
      <c r="C702">
        <v>1.8422350121161299</v>
      </c>
      <c r="D702">
        <f t="shared" si="30"/>
        <v>1.8422350121161351</v>
      </c>
      <c r="E702">
        <f t="shared" si="31"/>
        <v>5.1070259132757201E-15</v>
      </c>
      <c r="F702">
        <f t="shared" si="32"/>
        <v>2.6645352591003757E-15</v>
      </c>
    </row>
    <row r="703" spans="2:6" x14ac:dyDescent="0.3">
      <c r="B703">
        <v>0.69799999999999995</v>
      </c>
      <c r="C703">
        <v>1.8433829176811301</v>
      </c>
      <c r="D703">
        <f t="shared" si="30"/>
        <v>1.843382917681138</v>
      </c>
      <c r="E703">
        <f t="shared" si="31"/>
        <v>7.9936057773011271E-15</v>
      </c>
      <c r="F703">
        <f t="shared" si="32"/>
        <v>4.4408920985006262E-15</v>
      </c>
    </row>
    <row r="704" spans="2:6" x14ac:dyDescent="0.3">
      <c r="B704">
        <v>0.69899999999999995</v>
      </c>
      <c r="C704">
        <v>1.8445359017249501</v>
      </c>
      <c r="D704">
        <f t="shared" si="30"/>
        <v>1.8445359017249585</v>
      </c>
      <c r="E704">
        <f t="shared" si="31"/>
        <v>8.4376949871511897E-15</v>
      </c>
      <c r="F704">
        <f t="shared" si="32"/>
        <v>4.6629367034256575E-15</v>
      </c>
    </row>
    <row r="705" spans="2:6" x14ac:dyDescent="0.3">
      <c r="B705">
        <v>0.7</v>
      </c>
      <c r="C705">
        <v>1.84569399837472</v>
      </c>
      <c r="D705">
        <f t="shared" si="30"/>
        <v>1.8456939983747236</v>
      </c>
      <c r="E705">
        <f t="shared" si="31"/>
        <v>3.5527136788005009E-15</v>
      </c>
      <c r="F705">
        <f t="shared" si="32"/>
        <v>1.9984014443252818E-15</v>
      </c>
    </row>
    <row r="706" spans="2:6" x14ac:dyDescent="0.3">
      <c r="B706">
        <v>0.70099999999999996</v>
      </c>
      <c r="C706">
        <v>1.84685724210747</v>
      </c>
      <c r="D706">
        <f t="shared" si="30"/>
        <v>1.8468572421074703</v>
      </c>
      <c r="E706">
        <f t="shared" si="31"/>
        <v>0</v>
      </c>
      <c r="F706">
        <f t="shared" si="32"/>
        <v>0</v>
      </c>
    </row>
    <row r="707" spans="2:6" x14ac:dyDescent="0.3">
      <c r="B707">
        <v>0.70199999999999996</v>
      </c>
      <c r="C707">
        <v>1.8480256677548701</v>
      </c>
      <c r="D707">
        <f t="shared" si="30"/>
        <v>1.8480256677548772</v>
      </c>
      <c r="E707">
        <f t="shared" si="31"/>
        <v>7.1054273576010019E-15</v>
      </c>
      <c r="F707">
        <f t="shared" si="32"/>
        <v>3.7747582837255322E-15</v>
      </c>
    </row>
    <row r="708" spans="2:6" x14ac:dyDescent="0.3">
      <c r="B708">
        <v>0.70299999999999996</v>
      </c>
      <c r="C708">
        <v>1.84919931050807</v>
      </c>
      <c r="D708">
        <f t="shared" si="30"/>
        <v>1.8491993105080742</v>
      </c>
      <c r="E708">
        <f t="shared" si="31"/>
        <v>4.2188474935755949E-15</v>
      </c>
      <c r="F708">
        <f t="shared" si="32"/>
        <v>2.2204460492503131E-15</v>
      </c>
    </row>
    <row r="709" spans="2:6" x14ac:dyDescent="0.3">
      <c r="B709">
        <v>0.70399999999999996</v>
      </c>
      <c r="C709">
        <v>1.85037820592253</v>
      </c>
      <c r="D709">
        <f t="shared" si="30"/>
        <v>1.8503782059225378</v>
      </c>
      <c r="E709">
        <f t="shared" si="31"/>
        <v>7.7715611723760958E-15</v>
      </c>
      <c r="F709">
        <f t="shared" si="32"/>
        <v>4.2188474935755949E-15</v>
      </c>
    </row>
    <row r="710" spans="2:6" x14ac:dyDescent="0.3">
      <c r="B710">
        <v>0.70499999999999996</v>
      </c>
      <c r="C710">
        <v>1.85156238992306</v>
      </c>
      <c r="D710">
        <f t="shared" ref="D710:D773" si="33">completeElliptic1($B710*$B710)</f>
        <v>1.8515623899230658</v>
      </c>
      <c r="E710">
        <f t="shared" ref="E710:E773" si="34">$D710-$C710</f>
        <v>5.773159728050814E-15</v>
      </c>
      <c r="F710">
        <f t="shared" ref="F710:F773" si="35">$D710/$C710-1</f>
        <v>3.1086244689504383E-15</v>
      </c>
    </row>
    <row r="711" spans="2:6" x14ac:dyDescent="0.3">
      <c r="B711">
        <v>0.70599999999999996</v>
      </c>
      <c r="C711">
        <v>1.8527518988088301</v>
      </c>
      <c r="D711">
        <f t="shared" si="33"/>
        <v>1.8527518988088396</v>
      </c>
      <c r="E711">
        <f t="shared" si="34"/>
        <v>9.5479180117763462E-15</v>
      </c>
      <c r="F711">
        <f t="shared" si="35"/>
        <v>5.1070259132757201E-15</v>
      </c>
    </row>
    <row r="712" spans="2:6" x14ac:dyDescent="0.3">
      <c r="B712">
        <v>0.70699999999999996</v>
      </c>
      <c r="C712">
        <v>1.85394676925857</v>
      </c>
      <c r="D712">
        <f t="shared" si="33"/>
        <v>1.853946769258572</v>
      </c>
      <c r="E712">
        <f t="shared" si="34"/>
        <v>1.9984014443252818E-15</v>
      </c>
      <c r="F712">
        <f t="shared" si="35"/>
        <v>0</v>
      </c>
    </row>
    <row r="713" spans="2:6" x14ac:dyDescent="0.3">
      <c r="B713">
        <v>0.70799999999999996</v>
      </c>
      <c r="C713">
        <v>1.85514703833574</v>
      </c>
      <c r="D713">
        <f t="shared" si="33"/>
        <v>1.8551470383357442</v>
      </c>
      <c r="E713">
        <f t="shared" si="34"/>
        <v>4.2188474935755949E-15</v>
      </c>
      <c r="F713">
        <f t="shared" si="35"/>
        <v>2.2204460492503131E-15</v>
      </c>
    </row>
    <row r="714" spans="2:6" x14ac:dyDescent="0.3">
      <c r="B714">
        <v>0.70899999999999996</v>
      </c>
      <c r="C714">
        <v>1.85635274349393</v>
      </c>
      <c r="D714">
        <f t="shared" si="33"/>
        <v>1.8563527434939324</v>
      </c>
      <c r="E714">
        <f t="shared" si="34"/>
        <v>2.4424906541753444E-15</v>
      </c>
      <c r="F714">
        <f t="shared" si="35"/>
        <v>0</v>
      </c>
    </row>
    <row r="715" spans="2:6" x14ac:dyDescent="0.3">
      <c r="B715">
        <v>0.71</v>
      </c>
      <c r="C715">
        <v>1.85756392258222</v>
      </c>
      <c r="D715">
        <f t="shared" si="33"/>
        <v>1.8575639225822289</v>
      </c>
      <c r="E715">
        <f t="shared" si="34"/>
        <v>8.8817841970012523E-15</v>
      </c>
      <c r="F715">
        <f t="shared" si="35"/>
        <v>4.8849813083506888E-15</v>
      </c>
    </row>
    <row r="716" spans="2:6" x14ac:dyDescent="0.3">
      <c r="B716">
        <v>0.71099999999999997</v>
      </c>
      <c r="C716">
        <v>1.8587806138507501</v>
      </c>
      <c r="D716">
        <f t="shared" si="33"/>
        <v>1.8587806138507534</v>
      </c>
      <c r="E716">
        <f t="shared" si="34"/>
        <v>3.3306690738754696E-15</v>
      </c>
      <c r="F716">
        <f t="shared" si="35"/>
        <v>1.7763568394002505E-15</v>
      </c>
    </row>
    <row r="717" spans="2:6" x14ac:dyDescent="0.3">
      <c r="B717">
        <v>0.71199999999999997</v>
      </c>
      <c r="C717">
        <v>1.86000285595626</v>
      </c>
      <c r="D717">
        <f t="shared" si="33"/>
        <v>1.8600028559562656</v>
      </c>
      <c r="E717">
        <f t="shared" si="34"/>
        <v>5.5511151231257827E-15</v>
      </c>
      <c r="F717">
        <f t="shared" si="35"/>
        <v>2.886579864025407E-15</v>
      </c>
    </row>
    <row r="718" spans="2:6" x14ac:dyDescent="0.3">
      <c r="B718">
        <v>0.71299999999999997</v>
      </c>
      <c r="C718">
        <v>1.8612306879678699</v>
      </c>
      <c r="D718">
        <f t="shared" si="33"/>
        <v>1.8612306879678706</v>
      </c>
      <c r="E718">
        <f t="shared" si="34"/>
        <v>0</v>
      </c>
      <c r="F718">
        <f t="shared" si="35"/>
        <v>0</v>
      </c>
    </row>
    <row r="719" spans="2:6" x14ac:dyDescent="0.3">
      <c r="B719">
        <v>0.71399999999999997</v>
      </c>
      <c r="C719">
        <v>1.86246414937282</v>
      </c>
      <c r="D719">
        <f t="shared" si="33"/>
        <v>1.8624641493728291</v>
      </c>
      <c r="E719">
        <f t="shared" si="34"/>
        <v>9.1038288019262836E-15</v>
      </c>
      <c r="F719">
        <f t="shared" si="35"/>
        <v>4.8849813083506888E-15</v>
      </c>
    </row>
    <row r="720" spans="2:6" x14ac:dyDescent="0.3">
      <c r="B720">
        <v>0.71499999999999997</v>
      </c>
      <c r="C720">
        <v>1.86370328008246</v>
      </c>
      <c r="D720">
        <f t="shared" si="33"/>
        <v>1.8637032800824667</v>
      </c>
      <c r="E720">
        <f t="shared" si="34"/>
        <v>6.6613381477509392E-15</v>
      </c>
      <c r="F720">
        <f t="shared" si="35"/>
        <v>3.5527136788005009E-15</v>
      </c>
    </row>
    <row r="721" spans="2:6" x14ac:dyDescent="0.3">
      <c r="B721">
        <v>0.71599999999999997</v>
      </c>
      <c r="C721">
        <v>1.8649481204381899</v>
      </c>
      <c r="D721">
        <f t="shared" si="33"/>
        <v>1.8649481204381906</v>
      </c>
      <c r="E721">
        <f t="shared" si="34"/>
        <v>0</v>
      </c>
      <c r="F721">
        <f t="shared" si="35"/>
        <v>0</v>
      </c>
    </row>
    <row r="722" spans="2:6" x14ac:dyDescent="0.3">
      <c r="B722">
        <v>0.71699999999999997</v>
      </c>
      <c r="C722">
        <v>1.8661987112175999</v>
      </c>
      <c r="D722">
        <f t="shared" si="33"/>
        <v>1.8661987112176093</v>
      </c>
      <c r="E722">
        <f t="shared" si="34"/>
        <v>9.3258734068513149E-15</v>
      </c>
      <c r="F722">
        <f t="shared" si="35"/>
        <v>5.1070259132757201E-15</v>
      </c>
    </row>
    <row r="723" spans="2:6" x14ac:dyDescent="0.3">
      <c r="B723">
        <v>0.71799999999999997</v>
      </c>
      <c r="C723">
        <v>1.8674550936407599</v>
      </c>
      <c r="D723">
        <f t="shared" si="33"/>
        <v>1.8674550936407668</v>
      </c>
      <c r="E723">
        <f t="shared" si="34"/>
        <v>6.8833827526759706E-15</v>
      </c>
      <c r="F723">
        <f t="shared" si="35"/>
        <v>3.7747582837255322E-15</v>
      </c>
    </row>
    <row r="724" spans="2:6" x14ac:dyDescent="0.3">
      <c r="B724">
        <v>0.71899999999999997</v>
      </c>
      <c r="C724">
        <v>1.86871730937648</v>
      </c>
      <c r="D724">
        <f t="shared" si="33"/>
        <v>1.8687173093764815</v>
      </c>
      <c r="E724">
        <f t="shared" si="34"/>
        <v>0</v>
      </c>
      <c r="F724">
        <f t="shared" si="35"/>
        <v>0</v>
      </c>
    </row>
    <row r="725" spans="2:6" x14ac:dyDescent="0.3">
      <c r="B725">
        <v>0.72</v>
      </c>
      <c r="C725">
        <v>1.8699854005487999</v>
      </c>
      <c r="D725">
        <f t="shared" si="33"/>
        <v>1.8699854005488044</v>
      </c>
      <c r="E725">
        <f t="shared" si="34"/>
        <v>4.4408920985006262E-15</v>
      </c>
      <c r="F725">
        <f t="shared" si="35"/>
        <v>2.4424906541753444E-15</v>
      </c>
    </row>
    <row r="726" spans="2:6" x14ac:dyDescent="0.3">
      <c r="B726">
        <v>0.72099999999999997</v>
      </c>
      <c r="C726">
        <v>1.87125940974359</v>
      </c>
      <c r="D726">
        <f t="shared" si="33"/>
        <v>1.8712594097435908</v>
      </c>
      <c r="E726">
        <f t="shared" si="34"/>
        <v>0</v>
      </c>
      <c r="F726">
        <f t="shared" si="35"/>
        <v>0</v>
      </c>
    </row>
    <row r="727" spans="2:6" x14ac:dyDescent="0.3">
      <c r="B727">
        <v>0.72199999999999998</v>
      </c>
      <c r="C727">
        <v>1.8725393800151899</v>
      </c>
      <c r="D727">
        <f t="shared" si="33"/>
        <v>1.8725393800151917</v>
      </c>
      <c r="E727">
        <f t="shared" si="34"/>
        <v>1.7763568394002505E-15</v>
      </c>
      <c r="F727">
        <f t="shared" si="35"/>
        <v>0</v>
      </c>
    </row>
    <row r="728" spans="2:6" x14ac:dyDescent="0.3">
      <c r="B728">
        <v>0.72299999999999998</v>
      </c>
      <c r="C728">
        <v>1.87382535489326</v>
      </c>
      <c r="D728">
        <f t="shared" si="33"/>
        <v>1.8738253548932657</v>
      </c>
      <c r="E728">
        <f t="shared" si="34"/>
        <v>5.773159728050814E-15</v>
      </c>
      <c r="F728">
        <f t="shared" si="35"/>
        <v>3.1086244689504383E-15</v>
      </c>
    </row>
    <row r="729" spans="2:6" x14ac:dyDescent="0.3">
      <c r="B729">
        <v>0.72399999999999998</v>
      </c>
      <c r="C729">
        <v>1.8751173783897099</v>
      </c>
      <c r="D729">
        <f t="shared" si="33"/>
        <v>1.8751173783897153</v>
      </c>
      <c r="E729">
        <f t="shared" si="34"/>
        <v>5.3290705182007514E-15</v>
      </c>
      <c r="F729">
        <f t="shared" si="35"/>
        <v>2.886579864025407E-15</v>
      </c>
    </row>
    <row r="730" spans="2:6" x14ac:dyDescent="0.3">
      <c r="B730">
        <v>0.72499999999999998</v>
      </c>
      <c r="C730">
        <v>1.8764154950057399</v>
      </c>
      <c r="D730">
        <f t="shared" si="33"/>
        <v>1.8764154950057499</v>
      </c>
      <c r="E730">
        <f t="shared" si="34"/>
        <v>9.9920072216264089E-15</v>
      </c>
      <c r="F730">
        <f t="shared" si="35"/>
        <v>5.3290705182007514E-15</v>
      </c>
    </row>
    <row r="731" spans="2:6" x14ac:dyDescent="0.3">
      <c r="B731">
        <v>0.72599999999999998</v>
      </c>
      <c r="C731">
        <v>1.8777197497390701</v>
      </c>
      <c r="D731">
        <f t="shared" si="33"/>
        <v>1.8777197497390785</v>
      </c>
      <c r="E731">
        <f t="shared" si="34"/>
        <v>8.4376949871511897E-15</v>
      </c>
      <c r="F731">
        <f t="shared" si="35"/>
        <v>4.4408920985006262E-15</v>
      </c>
    </row>
    <row r="732" spans="2:6" x14ac:dyDescent="0.3">
      <c r="B732">
        <v>0.72699999999999998</v>
      </c>
      <c r="C732">
        <v>1.8790301880912299</v>
      </c>
      <c r="D732">
        <f t="shared" si="33"/>
        <v>1.8790301880912337</v>
      </c>
      <c r="E732">
        <f t="shared" si="34"/>
        <v>3.7747582837255322E-15</v>
      </c>
      <c r="F732">
        <f t="shared" si="35"/>
        <v>1.9984014443252818E-15</v>
      </c>
    </row>
    <row r="733" spans="2:6" x14ac:dyDescent="0.3">
      <c r="B733">
        <v>0.72799999999999998</v>
      </c>
      <c r="C733">
        <v>1.88034685607503</v>
      </c>
      <c r="D733">
        <f t="shared" si="33"/>
        <v>1.8803468560750327</v>
      </c>
      <c r="E733">
        <f t="shared" si="34"/>
        <v>2.6645352591003757E-15</v>
      </c>
      <c r="F733">
        <f t="shared" si="35"/>
        <v>0</v>
      </c>
    </row>
    <row r="734" spans="2:6" x14ac:dyDescent="0.3">
      <c r="B734">
        <v>0.72899999999999998</v>
      </c>
      <c r="C734">
        <v>1.8816698002221699</v>
      </c>
      <c r="D734">
        <f t="shared" si="33"/>
        <v>1.8816698002221734</v>
      </c>
      <c r="E734">
        <f t="shared" si="34"/>
        <v>3.5527136788005009E-15</v>
      </c>
      <c r="F734">
        <f t="shared" si="35"/>
        <v>1.9984014443252818E-15</v>
      </c>
    </row>
    <row r="735" spans="2:6" x14ac:dyDescent="0.3">
      <c r="B735">
        <v>0.73</v>
      </c>
      <c r="C735">
        <v>1.88299906759097</v>
      </c>
      <c r="D735">
        <f t="shared" si="33"/>
        <v>1.882999067590976</v>
      </c>
      <c r="E735">
        <f t="shared" si="34"/>
        <v>5.9952043329758453E-15</v>
      </c>
      <c r="F735">
        <f t="shared" si="35"/>
        <v>3.1086244689504383E-15</v>
      </c>
    </row>
    <row r="736" spans="2:6" x14ac:dyDescent="0.3">
      <c r="B736">
        <v>0.73099999999999998</v>
      </c>
      <c r="C736">
        <v>1.8843347057742601</v>
      </c>
      <c r="D736">
        <f t="shared" si="33"/>
        <v>1.8843347057742661</v>
      </c>
      <c r="E736">
        <f t="shared" si="34"/>
        <v>5.9952043329758453E-15</v>
      </c>
      <c r="F736">
        <f t="shared" si="35"/>
        <v>3.1086244689504383E-15</v>
      </c>
    </row>
    <row r="737" spans="2:6" x14ac:dyDescent="0.3">
      <c r="B737">
        <v>0.73199999999999998</v>
      </c>
      <c r="C737">
        <v>1.8856767629074001</v>
      </c>
      <c r="D737">
        <f t="shared" si="33"/>
        <v>1.8856767629074045</v>
      </c>
      <c r="E737">
        <f t="shared" si="34"/>
        <v>4.4408920985006262E-15</v>
      </c>
      <c r="F737">
        <f t="shared" si="35"/>
        <v>2.4424906541753444E-15</v>
      </c>
    </row>
    <row r="738" spans="2:6" x14ac:dyDescent="0.3">
      <c r="B738">
        <v>0.73299999999999998</v>
      </c>
      <c r="C738">
        <v>1.8870252876764699</v>
      </c>
      <c r="D738">
        <f t="shared" si="33"/>
        <v>1.8870252876764726</v>
      </c>
      <c r="E738">
        <f t="shared" si="34"/>
        <v>2.6645352591003757E-15</v>
      </c>
      <c r="F738">
        <f t="shared" si="35"/>
        <v>0</v>
      </c>
    </row>
    <row r="739" spans="2:6" x14ac:dyDescent="0.3">
      <c r="B739">
        <v>0.73399999999999999</v>
      </c>
      <c r="C739">
        <v>1.8883803293265999</v>
      </c>
      <c r="D739">
        <f t="shared" si="33"/>
        <v>1.8883803293266068</v>
      </c>
      <c r="E739">
        <f t="shared" si="34"/>
        <v>6.8833827526759706E-15</v>
      </c>
      <c r="F739">
        <f t="shared" si="35"/>
        <v>3.5527136788005009E-15</v>
      </c>
    </row>
    <row r="740" spans="2:6" x14ac:dyDescent="0.3">
      <c r="B740">
        <v>0.73499999999999999</v>
      </c>
      <c r="C740">
        <v>1.88974193767049</v>
      </c>
      <c r="D740">
        <f t="shared" si="33"/>
        <v>1.8897419376704956</v>
      </c>
      <c r="E740">
        <f t="shared" si="34"/>
        <v>5.5511151231257827E-15</v>
      </c>
      <c r="F740">
        <f t="shared" si="35"/>
        <v>2.886579864025407E-15</v>
      </c>
    </row>
    <row r="741" spans="2:6" x14ac:dyDescent="0.3">
      <c r="B741">
        <v>0.73599999999999999</v>
      </c>
      <c r="C741">
        <v>1.89111016309703</v>
      </c>
      <c r="D741">
        <f t="shared" si="33"/>
        <v>1.8911101630970342</v>
      </c>
      <c r="E741">
        <f t="shared" si="34"/>
        <v>4.2188474935755949E-15</v>
      </c>
      <c r="F741">
        <f t="shared" si="35"/>
        <v>2.2204460492503131E-15</v>
      </c>
    </row>
    <row r="742" spans="2:6" x14ac:dyDescent="0.3">
      <c r="B742">
        <v>0.73699999999999999</v>
      </c>
      <c r="C742">
        <v>1.8924850565801401</v>
      </c>
      <c r="D742">
        <f t="shared" si="33"/>
        <v>1.8924850565801468</v>
      </c>
      <c r="E742">
        <f t="shared" si="34"/>
        <v>6.6613381477509392E-15</v>
      </c>
      <c r="F742">
        <f t="shared" si="35"/>
        <v>3.5527136788005009E-15</v>
      </c>
    </row>
    <row r="743" spans="2:6" x14ac:dyDescent="0.3">
      <c r="B743">
        <v>0.73799999999999999</v>
      </c>
      <c r="C743">
        <v>1.89386666968777</v>
      </c>
      <c r="D743">
        <f t="shared" si="33"/>
        <v>1.8938666696877773</v>
      </c>
      <c r="E743">
        <f t="shared" si="34"/>
        <v>7.3274719625260332E-15</v>
      </c>
      <c r="F743">
        <f t="shared" si="35"/>
        <v>3.7747582837255322E-15</v>
      </c>
    </row>
    <row r="744" spans="2:6" x14ac:dyDescent="0.3">
      <c r="B744">
        <v>0.73899999999999999</v>
      </c>
      <c r="C744">
        <v>1.89525505459105</v>
      </c>
      <c r="D744">
        <f t="shared" si="33"/>
        <v>1.8952550545910534</v>
      </c>
      <c r="E744">
        <f t="shared" si="34"/>
        <v>3.3306690738754696E-15</v>
      </c>
      <c r="F744">
        <f t="shared" si="35"/>
        <v>1.7763568394002505E-15</v>
      </c>
    </row>
    <row r="745" spans="2:6" x14ac:dyDescent="0.3">
      <c r="B745">
        <v>0.74</v>
      </c>
      <c r="C745">
        <v>1.89665026407362</v>
      </c>
      <c r="D745">
        <f t="shared" si="33"/>
        <v>1.8966502640736262</v>
      </c>
      <c r="E745">
        <f t="shared" si="34"/>
        <v>6.2172489379008766E-15</v>
      </c>
      <c r="F745">
        <f t="shared" si="35"/>
        <v>3.3306690738754696E-15</v>
      </c>
    </row>
    <row r="746" spans="2:6" x14ac:dyDescent="0.3">
      <c r="B746">
        <v>0.74099999999999999</v>
      </c>
      <c r="C746">
        <v>1.89805235154119</v>
      </c>
      <c r="D746">
        <f t="shared" si="33"/>
        <v>1.8980523515411916</v>
      </c>
      <c r="E746">
        <f t="shared" si="34"/>
        <v>0</v>
      </c>
      <c r="F746">
        <f t="shared" si="35"/>
        <v>0</v>
      </c>
    </row>
    <row r="747" spans="2:6" x14ac:dyDescent="0.3">
      <c r="B747">
        <v>0.74199999999999999</v>
      </c>
      <c r="C747">
        <v>1.8994613710311901</v>
      </c>
      <c r="D747">
        <f t="shared" si="33"/>
        <v>1.8994613710311978</v>
      </c>
      <c r="E747">
        <f t="shared" si="34"/>
        <v>7.7715611723760958E-15</v>
      </c>
      <c r="F747">
        <f t="shared" si="35"/>
        <v>3.9968028886505635E-15</v>
      </c>
    </row>
    <row r="748" spans="2:6" x14ac:dyDescent="0.3">
      <c r="B748">
        <v>0.74299999999999999</v>
      </c>
      <c r="C748">
        <v>1.9008773772227401</v>
      </c>
      <c r="D748">
        <f t="shared" si="33"/>
        <v>1.9008773772227416</v>
      </c>
      <c r="E748">
        <f t="shared" si="34"/>
        <v>0</v>
      </c>
      <c r="F748">
        <f t="shared" si="35"/>
        <v>0</v>
      </c>
    </row>
    <row r="749" spans="2:6" x14ac:dyDescent="0.3">
      <c r="B749">
        <v>0.74399999999999999</v>
      </c>
      <c r="C749">
        <v>1.90230042544665</v>
      </c>
      <c r="D749">
        <f t="shared" si="33"/>
        <v>1.9023004254466571</v>
      </c>
      <c r="E749">
        <f t="shared" si="34"/>
        <v>7.1054273576010019E-15</v>
      </c>
      <c r="F749">
        <f t="shared" si="35"/>
        <v>3.7747582837255322E-15</v>
      </c>
    </row>
    <row r="750" spans="2:6" x14ac:dyDescent="0.3">
      <c r="B750">
        <v>0.745</v>
      </c>
      <c r="C750">
        <v>1.9037305716958</v>
      </c>
      <c r="D750">
        <f t="shared" si="33"/>
        <v>1.9037305716958068</v>
      </c>
      <c r="E750">
        <f t="shared" si="34"/>
        <v>6.8833827526759706E-15</v>
      </c>
      <c r="F750">
        <f t="shared" si="35"/>
        <v>3.5527136788005009E-15</v>
      </c>
    </row>
    <row r="751" spans="2:6" x14ac:dyDescent="0.3">
      <c r="B751">
        <v>0.746</v>
      </c>
      <c r="C751">
        <v>1.9051678726355701</v>
      </c>
      <c r="D751">
        <f t="shared" si="33"/>
        <v>1.9051678726355725</v>
      </c>
      <c r="E751">
        <f t="shared" si="34"/>
        <v>2.4424906541753444E-15</v>
      </c>
      <c r="F751">
        <f t="shared" si="35"/>
        <v>0</v>
      </c>
    </row>
    <row r="752" spans="2:6" x14ac:dyDescent="0.3">
      <c r="B752">
        <v>0.747</v>
      </c>
      <c r="C752">
        <v>1.90661238561455</v>
      </c>
      <c r="D752">
        <f t="shared" si="33"/>
        <v>1.9066123856145551</v>
      </c>
      <c r="E752">
        <f t="shared" si="34"/>
        <v>5.1070259132757201E-15</v>
      </c>
      <c r="F752">
        <f t="shared" si="35"/>
        <v>2.6645352591003757E-15</v>
      </c>
    </row>
    <row r="753" spans="2:6" x14ac:dyDescent="0.3">
      <c r="B753">
        <v>0.748</v>
      </c>
      <c r="C753">
        <v>1.90806416867548</v>
      </c>
      <c r="D753">
        <f t="shared" si="33"/>
        <v>1.9080641686754893</v>
      </c>
      <c r="E753">
        <f t="shared" si="34"/>
        <v>9.3258734068513149E-15</v>
      </c>
      <c r="F753">
        <f t="shared" si="35"/>
        <v>4.8849813083506888E-15</v>
      </c>
    </row>
    <row r="754" spans="2:6" x14ac:dyDescent="0.3">
      <c r="B754">
        <v>0.749</v>
      </c>
      <c r="C754">
        <v>1.90952328056637</v>
      </c>
      <c r="D754">
        <f t="shared" si="33"/>
        <v>1.9095232805663744</v>
      </c>
      <c r="E754">
        <f t="shared" si="34"/>
        <v>4.4408920985006262E-15</v>
      </c>
      <c r="F754">
        <f t="shared" si="35"/>
        <v>2.2204460492503131E-15</v>
      </c>
    </row>
    <row r="755" spans="2:6" x14ac:dyDescent="0.3">
      <c r="B755">
        <v>0.75</v>
      </c>
      <c r="C755">
        <v>1.9109897807518199</v>
      </c>
      <c r="D755">
        <f t="shared" si="33"/>
        <v>1.9109897807518292</v>
      </c>
      <c r="E755">
        <f t="shared" si="34"/>
        <v>9.3258734068513149E-15</v>
      </c>
      <c r="F755">
        <f t="shared" si="35"/>
        <v>4.8849813083506888E-15</v>
      </c>
    </row>
    <row r="756" spans="2:6" x14ac:dyDescent="0.3">
      <c r="B756">
        <v>0.751</v>
      </c>
      <c r="C756">
        <v>1.91246372942467</v>
      </c>
      <c r="D756">
        <f t="shared" si="33"/>
        <v>1.9124637294246756</v>
      </c>
      <c r="E756">
        <f t="shared" si="34"/>
        <v>5.5511151231257827E-15</v>
      </c>
      <c r="F756">
        <f t="shared" si="35"/>
        <v>2.886579864025407E-15</v>
      </c>
    </row>
    <row r="757" spans="2:6" x14ac:dyDescent="0.3">
      <c r="B757">
        <v>0.752</v>
      </c>
      <c r="C757">
        <v>1.91394518751775</v>
      </c>
      <c r="D757">
        <f t="shared" si="33"/>
        <v>1.9139451875177582</v>
      </c>
      <c r="E757">
        <f t="shared" si="34"/>
        <v>8.2156503822261584E-15</v>
      </c>
      <c r="F757">
        <f t="shared" si="35"/>
        <v>4.2188474935755949E-15</v>
      </c>
    </row>
    <row r="758" spans="2:6" x14ac:dyDescent="0.3">
      <c r="B758">
        <v>0.753</v>
      </c>
      <c r="C758">
        <v>1.9154342167159999</v>
      </c>
      <c r="D758">
        <f t="shared" si="33"/>
        <v>1.9154342167160006</v>
      </c>
      <c r="E758">
        <f t="shared" si="34"/>
        <v>0</v>
      </c>
      <c r="F758">
        <f t="shared" si="35"/>
        <v>0</v>
      </c>
    </row>
    <row r="759" spans="2:6" x14ac:dyDescent="0.3">
      <c r="B759">
        <v>0.754</v>
      </c>
      <c r="C759">
        <v>1.9169308794687101</v>
      </c>
      <c r="D759">
        <f t="shared" si="33"/>
        <v>1.9169308794687103</v>
      </c>
      <c r="E759">
        <f t="shared" si="34"/>
        <v>0</v>
      </c>
      <c r="F759">
        <f t="shared" si="35"/>
        <v>0</v>
      </c>
    </row>
    <row r="760" spans="2:6" x14ac:dyDescent="0.3">
      <c r="B760">
        <v>0.755</v>
      </c>
      <c r="C760">
        <v>1.91843523900213</v>
      </c>
      <c r="D760">
        <f t="shared" si="33"/>
        <v>1.9184352390021353</v>
      </c>
      <c r="E760">
        <f t="shared" si="34"/>
        <v>5.3290705182007514E-15</v>
      </c>
      <c r="F760">
        <f t="shared" si="35"/>
        <v>2.886579864025407E-15</v>
      </c>
    </row>
    <row r="761" spans="2:6" x14ac:dyDescent="0.3">
      <c r="B761">
        <v>0.75600000000000001</v>
      </c>
      <c r="C761">
        <v>1.91994735933227</v>
      </c>
      <c r="D761">
        <f t="shared" si="33"/>
        <v>1.9199473593322789</v>
      </c>
      <c r="E761">
        <f t="shared" si="34"/>
        <v>8.8817841970012523E-15</v>
      </c>
      <c r="F761">
        <f t="shared" si="35"/>
        <v>4.6629367034256575E-15</v>
      </c>
    </row>
    <row r="762" spans="2:6" x14ac:dyDescent="0.3">
      <c r="B762">
        <v>0.75700000000000001</v>
      </c>
      <c r="C762">
        <v>1.9214673052779701</v>
      </c>
      <c r="D762">
        <f t="shared" si="33"/>
        <v>1.9214673052779767</v>
      </c>
      <c r="E762">
        <f t="shared" si="34"/>
        <v>6.6613381477509392E-15</v>
      </c>
      <c r="F762">
        <f t="shared" si="35"/>
        <v>3.5527136788005009E-15</v>
      </c>
    </row>
    <row r="763" spans="2:6" x14ac:dyDescent="0.3">
      <c r="B763">
        <v>0.75800000000000001</v>
      </c>
      <c r="C763">
        <v>1.92299514247424</v>
      </c>
      <c r="D763">
        <f t="shared" si="33"/>
        <v>1.9229951424742484</v>
      </c>
      <c r="E763">
        <f t="shared" si="34"/>
        <v>8.4376949871511897E-15</v>
      </c>
      <c r="F763">
        <f t="shared" si="35"/>
        <v>4.4408920985006262E-15</v>
      </c>
    </row>
    <row r="764" spans="2:6" x14ac:dyDescent="0.3">
      <c r="B764">
        <v>0.75900000000000001</v>
      </c>
      <c r="C764">
        <v>1.9245309373859201</v>
      </c>
      <c r="D764">
        <f t="shared" si="33"/>
        <v>1.9245309373859254</v>
      </c>
      <c r="E764">
        <f t="shared" si="34"/>
        <v>5.3290705182007514E-15</v>
      </c>
      <c r="F764">
        <f t="shared" si="35"/>
        <v>2.6645352591003757E-15</v>
      </c>
    </row>
    <row r="765" spans="2:6" x14ac:dyDescent="0.3">
      <c r="B765">
        <v>0.76</v>
      </c>
      <c r="C765">
        <v>1.92607475732156</v>
      </c>
      <c r="D765">
        <f t="shared" si="33"/>
        <v>1.9260747573215624</v>
      </c>
      <c r="E765">
        <f t="shared" si="34"/>
        <v>2.4424906541753444E-15</v>
      </c>
      <c r="F765">
        <f t="shared" si="35"/>
        <v>0</v>
      </c>
    </row>
    <row r="766" spans="2:6" x14ac:dyDescent="0.3">
      <c r="B766">
        <v>0.76100000000000001</v>
      </c>
      <c r="C766">
        <v>1.9276266704476399</v>
      </c>
      <c r="D766">
        <f t="shared" si="33"/>
        <v>1.9276266704476441</v>
      </c>
      <c r="E766">
        <f t="shared" si="34"/>
        <v>4.2188474935755949E-15</v>
      </c>
      <c r="F766">
        <f t="shared" si="35"/>
        <v>2.2204460492503131E-15</v>
      </c>
    </row>
    <row r="767" spans="2:6" x14ac:dyDescent="0.3">
      <c r="B767">
        <v>0.76200000000000001</v>
      </c>
      <c r="C767">
        <v>1.92918674580308</v>
      </c>
      <c r="D767">
        <f t="shared" si="33"/>
        <v>1.9291867458030882</v>
      </c>
      <c r="E767">
        <f t="shared" si="34"/>
        <v>8.2156503822261584E-15</v>
      </c>
      <c r="F767">
        <f t="shared" si="35"/>
        <v>4.2188474935755949E-15</v>
      </c>
    </row>
    <row r="768" spans="2:6" x14ac:dyDescent="0.3">
      <c r="B768">
        <v>0.76300000000000001</v>
      </c>
      <c r="C768">
        <v>1.9307550533140501</v>
      </c>
      <c r="D768">
        <f t="shared" si="33"/>
        <v>1.9307550533140563</v>
      </c>
      <c r="E768">
        <f t="shared" si="34"/>
        <v>6.2172489379008766E-15</v>
      </c>
      <c r="F768">
        <f t="shared" si="35"/>
        <v>3.3306690738754696E-15</v>
      </c>
    </row>
    <row r="769" spans="2:6" x14ac:dyDescent="0.3">
      <c r="B769">
        <v>0.76400000000000001</v>
      </c>
      <c r="C769">
        <v>1.9323316638090799</v>
      </c>
      <c r="D769">
        <f t="shared" si="33"/>
        <v>1.9323316638090811</v>
      </c>
      <c r="E769">
        <f t="shared" si="34"/>
        <v>0</v>
      </c>
      <c r="F769">
        <f t="shared" si="35"/>
        <v>0</v>
      </c>
    </row>
    <row r="770" spans="2:6" x14ac:dyDescent="0.3">
      <c r="B770">
        <v>0.76500000000000001</v>
      </c>
      <c r="C770">
        <v>1.9339166490345101</v>
      </c>
      <c r="D770">
        <f t="shared" si="33"/>
        <v>1.9339166490345137</v>
      </c>
      <c r="E770">
        <f t="shared" si="34"/>
        <v>3.5527136788005009E-15</v>
      </c>
      <c r="F770">
        <f t="shared" si="35"/>
        <v>1.7763568394002505E-15</v>
      </c>
    </row>
    <row r="771" spans="2:6" x14ac:dyDescent="0.3">
      <c r="B771">
        <v>0.76600000000000001</v>
      </c>
      <c r="C771">
        <v>1.9355100816702999</v>
      </c>
      <c r="D771">
        <f t="shared" si="33"/>
        <v>1.9355100816703055</v>
      </c>
      <c r="E771">
        <f t="shared" si="34"/>
        <v>5.5511151231257827E-15</v>
      </c>
      <c r="F771">
        <f t="shared" si="35"/>
        <v>2.886579864025407E-15</v>
      </c>
    </row>
    <row r="772" spans="2:6" x14ac:dyDescent="0.3">
      <c r="B772">
        <v>0.76700000000000002</v>
      </c>
      <c r="C772">
        <v>1.93711203534612</v>
      </c>
      <c r="D772">
        <f t="shared" si="33"/>
        <v>1.9371120353461253</v>
      </c>
      <c r="E772">
        <f t="shared" si="34"/>
        <v>5.3290705182007514E-15</v>
      </c>
      <c r="F772">
        <f t="shared" si="35"/>
        <v>2.6645352591003757E-15</v>
      </c>
    </row>
    <row r="773" spans="2:6" x14ac:dyDescent="0.3">
      <c r="B773">
        <v>0.76800000000000002</v>
      </c>
      <c r="C773">
        <v>1.93872258465783</v>
      </c>
      <c r="D773">
        <f t="shared" si="33"/>
        <v>1.9387225846578302</v>
      </c>
      <c r="E773">
        <f t="shared" si="34"/>
        <v>0</v>
      </c>
      <c r="F773">
        <f t="shared" si="35"/>
        <v>0</v>
      </c>
    </row>
    <row r="774" spans="2:6" x14ac:dyDescent="0.3">
      <c r="B774">
        <v>0.76900000000000002</v>
      </c>
      <c r="C774">
        <v>1.94034180518428</v>
      </c>
      <c r="D774">
        <f t="shared" ref="D774:D837" si="36">completeElliptic1($B774*$B774)</f>
        <v>1.9403418051842891</v>
      </c>
      <c r="E774">
        <f t="shared" ref="E774:E837" si="37">$D774-$C774</f>
        <v>9.1038288019262836E-15</v>
      </c>
      <c r="F774">
        <f t="shared" ref="F774:F837" si="38">$D774/$C774-1</f>
        <v>4.6629367034256575E-15</v>
      </c>
    </row>
    <row r="775" spans="2:6" x14ac:dyDescent="0.3">
      <c r="B775">
        <v>0.77</v>
      </c>
      <c r="C775">
        <v>1.94196977350457</v>
      </c>
      <c r="D775">
        <f t="shared" si="36"/>
        <v>1.941969773504576</v>
      </c>
      <c r="E775">
        <f t="shared" si="37"/>
        <v>5.9952043329758453E-15</v>
      </c>
      <c r="F775">
        <f t="shared" si="38"/>
        <v>3.1086244689504383E-15</v>
      </c>
    </row>
    <row r="776" spans="2:6" x14ac:dyDescent="0.3">
      <c r="B776">
        <v>0.77100000000000002</v>
      </c>
      <c r="C776">
        <v>1.94360656721553</v>
      </c>
      <c r="D776">
        <f t="shared" si="36"/>
        <v>1.9436065672155396</v>
      </c>
      <c r="E776">
        <f t="shared" si="37"/>
        <v>9.5479180117763462E-15</v>
      </c>
      <c r="F776">
        <f t="shared" si="38"/>
        <v>4.8849813083506888E-15</v>
      </c>
    </row>
    <row r="777" spans="2:6" x14ac:dyDescent="0.3">
      <c r="B777">
        <v>0.77200000000000002</v>
      </c>
      <c r="C777">
        <v>1.9452522649497499</v>
      </c>
      <c r="D777">
        <f t="shared" si="36"/>
        <v>1.945252264949757</v>
      </c>
      <c r="E777">
        <f t="shared" si="37"/>
        <v>7.1054273576010019E-15</v>
      </c>
      <c r="F777">
        <f t="shared" si="38"/>
        <v>3.5527136788005009E-15</v>
      </c>
    </row>
    <row r="778" spans="2:6" x14ac:dyDescent="0.3">
      <c r="B778">
        <v>0.77300000000000002</v>
      </c>
      <c r="C778">
        <v>1.94690694639388</v>
      </c>
      <c r="D778">
        <f t="shared" si="36"/>
        <v>1.9469069463938886</v>
      </c>
      <c r="E778">
        <f t="shared" si="37"/>
        <v>8.659739592076221E-15</v>
      </c>
      <c r="F778">
        <f t="shared" si="38"/>
        <v>4.4408920985006262E-15</v>
      </c>
    </row>
    <row r="779" spans="2:6" x14ac:dyDescent="0.3">
      <c r="B779">
        <v>0.77400000000000002</v>
      </c>
      <c r="C779">
        <v>1.94857069230743</v>
      </c>
      <c r="D779">
        <f t="shared" si="36"/>
        <v>1.9485706923074342</v>
      </c>
      <c r="E779">
        <f t="shared" si="37"/>
        <v>4.2188474935755949E-15</v>
      </c>
      <c r="F779">
        <f t="shared" si="38"/>
        <v>2.2204460492503131E-15</v>
      </c>
    </row>
    <row r="780" spans="2:6" x14ac:dyDescent="0.3">
      <c r="B780">
        <v>0.77500000000000002</v>
      </c>
      <c r="C780">
        <v>1.9502435845419099</v>
      </c>
      <c r="D780">
        <f t="shared" si="36"/>
        <v>1.9502435845419137</v>
      </c>
      <c r="E780">
        <f t="shared" si="37"/>
        <v>3.7747582837255322E-15</v>
      </c>
      <c r="F780">
        <f t="shared" si="38"/>
        <v>1.9984014443252818E-15</v>
      </c>
    </row>
    <row r="781" spans="2:6" x14ac:dyDescent="0.3">
      <c r="B781">
        <v>0.77600000000000002</v>
      </c>
      <c r="C781">
        <v>1.95192570606047</v>
      </c>
      <c r="D781">
        <f t="shared" si="36"/>
        <v>1.95192570606047</v>
      </c>
      <c r="E781">
        <f t="shared" si="37"/>
        <v>0</v>
      </c>
      <c r="F781">
        <f t="shared" si="38"/>
        <v>0</v>
      </c>
    </row>
    <row r="782" spans="2:6" x14ac:dyDescent="0.3">
      <c r="B782">
        <v>0.77700000000000002</v>
      </c>
      <c r="C782">
        <v>1.9536171409579199</v>
      </c>
      <c r="D782">
        <f t="shared" si="36"/>
        <v>1.9536171409579206</v>
      </c>
      <c r="E782">
        <f t="shared" si="37"/>
        <v>0</v>
      </c>
      <c r="F782">
        <f t="shared" si="38"/>
        <v>0</v>
      </c>
    </row>
    <row r="783" spans="2:6" x14ac:dyDescent="0.3">
      <c r="B783">
        <v>0.77800000000000002</v>
      </c>
      <c r="C783">
        <v>1.9553179744812501</v>
      </c>
      <c r="D783">
        <f t="shared" si="36"/>
        <v>1.9553179744812543</v>
      </c>
      <c r="E783">
        <f t="shared" si="37"/>
        <v>4.2188474935755949E-15</v>
      </c>
      <c r="F783">
        <f t="shared" si="38"/>
        <v>2.2204460492503131E-15</v>
      </c>
    </row>
    <row r="784" spans="2:6" x14ac:dyDescent="0.3">
      <c r="B784">
        <v>0.77900000000000003</v>
      </c>
      <c r="C784">
        <v>1.95702829305059</v>
      </c>
      <c r="D784">
        <f t="shared" si="36"/>
        <v>1.9570282930505984</v>
      </c>
      <c r="E784">
        <f t="shared" si="37"/>
        <v>8.4376949871511897E-15</v>
      </c>
      <c r="F784">
        <f t="shared" si="38"/>
        <v>4.2188474935755949E-15</v>
      </c>
    </row>
    <row r="785" spans="2:6" x14ac:dyDescent="0.3">
      <c r="B785">
        <v>0.78</v>
      </c>
      <c r="C785">
        <v>1.95874818428066</v>
      </c>
      <c r="D785">
        <f t="shared" si="36"/>
        <v>1.958748184280662</v>
      </c>
      <c r="E785">
        <f t="shared" si="37"/>
        <v>1.9984014443252818E-15</v>
      </c>
      <c r="F785">
        <f t="shared" si="38"/>
        <v>0</v>
      </c>
    </row>
    <row r="786" spans="2:6" x14ac:dyDescent="0.3">
      <c r="B786">
        <v>0.78100000000000003</v>
      </c>
      <c r="C786">
        <v>1.96047773700266</v>
      </c>
      <c r="D786">
        <f t="shared" si="36"/>
        <v>1.9604777370026689</v>
      </c>
      <c r="E786">
        <f t="shared" si="37"/>
        <v>8.8817841970012523E-15</v>
      </c>
      <c r="F786">
        <f t="shared" si="38"/>
        <v>4.4408920985006262E-15</v>
      </c>
    </row>
    <row r="787" spans="2:6" x14ac:dyDescent="0.3">
      <c r="B787">
        <v>0.78200000000000003</v>
      </c>
      <c r="C787">
        <v>1.9622170412867901</v>
      </c>
      <c r="D787">
        <f t="shared" si="36"/>
        <v>1.962217041286797</v>
      </c>
      <c r="E787">
        <f t="shared" si="37"/>
        <v>6.8833827526759706E-15</v>
      </c>
      <c r="F787">
        <f t="shared" si="38"/>
        <v>3.5527136788005009E-15</v>
      </c>
    </row>
    <row r="788" spans="2:6" x14ac:dyDescent="0.3">
      <c r="B788">
        <v>0.78300000000000003</v>
      </c>
      <c r="C788">
        <v>1.96396618846513</v>
      </c>
      <c r="D788">
        <f t="shared" si="36"/>
        <v>1.9639661884651338</v>
      </c>
      <c r="E788">
        <f t="shared" si="37"/>
        <v>3.7747582837255322E-15</v>
      </c>
      <c r="F788">
        <f t="shared" si="38"/>
        <v>1.9984014443252818E-15</v>
      </c>
    </row>
    <row r="789" spans="2:6" x14ac:dyDescent="0.3">
      <c r="B789">
        <v>0.78400000000000003</v>
      </c>
      <c r="C789">
        <v>1.96572527115516</v>
      </c>
      <c r="D789">
        <f t="shared" si="36"/>
        <v>1.9657252711551685</v>
      </c>
      <c r="E789">
        <f t="shared" si="37"/>
        <v>8.4376949871511897E-15</v>
      </c>
      <c r="F789">
        <f t="shared" si="38"/>
        <v>4.2188474935755949E-15</v>
      </c>
    </row>
    <row r="790" spans="2:6" x14ac:dyDescent="0.3">
      <c r="B790">
        <v>0.78500000000000003</v>
      </c>
      <c r="C790">
        <v>1.9674943832838201</v>
      </c>
      <c r="D790">
        <f t="shared" si="36"/>
        <v>1.9674943832838263</v>
      </c>
      <c r="E790">
        <f t="shared" si="37"/>
        <v>6.2172489379008766E-15</v>
      </c>
      <c r="F790">
        <f t="shared" si="38"/>
        <v>3.1086244689504383E-15</v>
      </c>
    </row>
    <row r="791" spans="2:6" x14ac:dyDescent="0.3">
      <c r="B791">
        <v>0.78600000000000003</v>
      </c>
      <c r="C791">
        <v>1.96927362011207</v>
      </c>
      <c r="D791">
        <f t="shared" si="36"/>
        <v>1.9692736201120704</v>
      </c>
      <c r="E791">
        <f t="shared" si="37"/>
        <v>0</v>
      </c>
      <c r="F791">
        <f t="shared" si="38"/>
        <v>0</v>
      </c>
    </row>
    <row r="792" spans="2:6" x14ac:dyDescent="0.3">
      <c r="B792">
        <v>0.78700000000000003</v>
      </c>
      <c r="C792">
        <v>1.97106307826008</v>
      </c>
      <c r="D792">
        <f t="shared" si="36"/>
        <v>1.9710630782600806</v>
      </c>
      <c r="E792">
        <f t="shared" si="37"/>
        <v>0</v>
      </c>
      <c r="F792">
        <f t="shared" si="38"/>
        <v>0</v>
      </c>
    </row>
    <row r="793" spans="2:6" x14ac:dyDescent="0.3">
      <c r="B793">
        <v>0.78800000000000003</v>
      </c>
      <c r="C793">
        <v>1.9728628557330199</v>
      </c>
      <c r="D793">
        <f t="shared" si="36"/>
        <v>1.9728628557330286</v>
      </c>
      <c r="E793">
        <f t="shared" si="37"/>
        <v>8.659739592076221E-15</v>
      </c>
      <c r="F793">
        <f t="shared" si="38"/>
        <v>4.4408920985006262E-15</v>
      </c>
    </row>
    <row r="794" spans="2:6" x14ac:dyDescent="0.3">
      <c r="B794">
        <v>0.78900000000000003</v>
      </c>
      <c r="C794">
        <v>1.97467305194746</v>
      </c>
      <c r="D794">
        <f t="shared" si="36"/>
        <v>1.9746730519474636</v>
      </c>
      <c r="E794">
        <f t="shared" si="37"/>
        <v>3.5527136788005009E-15</v>
      </c>
      <c r="F794">
        <f t="shared" si="38"/>
        <v>1.7763568394002505E-15</v>
      </c>
    </row>
    <row r="795" spans="2:6" x14ac:dyDescent="0.3">
      <c r="B795">
        <v>0.79</v>
      </c>
      <c r="C795">
        <v>1.9764937677583201</v>
      </c>
      <c r="D795">
        <f t="shared" si="36"/>
        <v>1.9764937677583296</v>
      </c>
      <c r="E795">
        <f t="shared" si="37"/>
        <v>9.5479180117763462E-15</v>
      </c>
      <c r="F795">
        <f t="shared" si="38"/>
        <v>4.8849813083506888E-15</v>
      </c>
    </row>
    <row r="796" spans="2:6" x14ac:dyDescent="0.3">
      <c r="B796">
        <v>0.79100000000000004</v>
      </c>
      <c r="C796">
        <v>1.97832510548662</v>
      </c>
      <c r="D796">
        <f t="shared" si="36"/>
        <v>1.9783251054866291</v>
      </c>
      <c r="E796">
        <f t="shared" si="37"/>
        <v>9.1038288019262836E-15</v>
      </c>
      <c r="F796">
        <f t="shared" si="38"/>
        <v>4.6629367034256575E-15</v>
      </c>
    </row>
    <row r="797" spans="2:6" x14ac:dyDescent="0.3">
      <c r="B797">
        <v>0.79200000000000004</v>
      </c>
      <c r="C797">
        <v>1.98016716894775</v>
      </c>
      <c r="D797">
        <f t="shared" si="36"/>
        <v>1.980167168947756</v>
      </c>
      <c r="E797">
        <f t="shared" si="37"/>
        <v>5.9952043329758453E-15</v>
      </c>
      <c r="F797">
        <f t="shared" si="38"/>
        <v>3.1086244689504383E-15</v>
      </c>
    </row>
    <row r="798" spans="2:6" x14ac:dyDescent="0.3">
      <c r="B798">
        <v>0.79300000000000004</v>
      </c>
      <c r="C798">
        <v>1.9820200634805001</v>
      </c>
      <c r="D798">
        <f t="shared" si="36"/>
        <v>1.9820200634805096</v>
      </c>
      <c r="E798">
        <f t="shared" si="37"/>
        <v>9.5479180117763462E-15</v>
      </c>
      <c r="F798">
        <f t="shared" si="38"/>
        <v>4.8849813083506888E-15</v>
      </c>
    </row>
    <row r="799" spans="2:6" x14ac:dyDescent="0.3">
      <c r="B799">
        <v>0.79400000000000004</v>
      </c>
      <c r="C799">
        <v>1.9838838959768099</v>
      </c>
      <c r="D799">
        <f t="shared" si="36"/>
        <v>1.9838838959768192</v>
      </c>
      <c r="E799">
        <f t="shared" si="37"/>
        <v>9.3258734068513149E-15</v>
      </c>
      <c r="F799">
        <f t="shared" si="38"/>
        <v>4.6629367034256575E-15</v>
      </c>
    </row>
    <row r="800" spans="2:6" x14ac:dyDescent="0.3">
      <c r="B800">
        <v>0.79500000000000004</v>
      </c>
      <c r="C800">
        <v>1.9857587749121901</v>
      </c>
      <c r="D800">
        <f t="shared" si="36"/>
        <v>1.9857587749121932</v>
      </c>
      <c r="E800">
        <f t="shared" si="37"/>
        <v>3.1086244689504383E-15</v>
      </c>
      <c r="F800">
        <f t="shared" si="38"/>
        <v>0</v>
      </c>
    </row>
    <row r="801" spans="2:6" x14ac:dyDescent="0.3">
      <c r="B801">
        <v>0.79600000000000004</v>
      </c>
      <c r="C801">
        <v>1.98764481037691</v>
      </c>
      <c r="D801">
        <f t="shared" si="36"/>
        <v>1.9876448103769166</v>
      </c>
      <c r="E801">
        <f t="shared" si="37"/>
        <v>6.6613381477509392E-15</v>
      </c>
      <c r="F801">
        <f t="shared" si="38"/>
        <v>3.3306690738754696E-15</v>
      </c>
    </row>
    <row r="802" spans="2:6" x14ac:dyDescent="0.3">
      <c r="B802">
        <v>0.79700000000000004</v>
      </c>
      <c r="C802">
        <v>1.9895421141080101</v>
      </c>
      <c r="D802">
        <f t="shared" si="36"/>
        <v>1.9895421141080174</v>
      </c>
      <c r="E802">
        <f t="shared" si="37"/>
        <v>7.3274719625260332E-15</v>
      </c>
      <c r="F802">
        <f t="shared" si="38"/>
        <v>3.7747582837255322E-15</v>
      </c>
    </row>
    <row r="803" spans="2:6" x14ac:dyDescent="0.3">
      <c r="B803">
        <v>0.79800000000000004</v>
      </c>
      <c r="C803">
        <v>1.9914507995220201</v>
      </c>
      <c r="D803">
        <f t="shared" si="36"/>
        <v>1.9914507995220276</v>
      </c>
      <c r="E803">
        <f t="shared" si="37"/>
        <v>7.5495165674510645E-15</v>
      </c>
      <c r="F803">
        <f t="shared" si="38"/>
        <v>3.7747582837255322E-15</v>
      </c>
    </row>
    <row r="804" spans="2:6" x14ac:dyDescent="0.3">
      <c r="B804">
        <v>0.79900000000000004</v>
      </c>
      <c r="C804">
        <v>1.9933709817485601</v>
      </c>
      <c r="D804">
        <f t="shared" si="36"/>
        <v>1.9933709817485608</v>
      </c>
      <c r="E804">
        <f t="shared" si="37"/>
        <v>0</v>
      </c>
      <c r="F804">
        <f t="shared" si="38"/>
        <v>0</v>
      </c>
    </row>
    <row r="805" spans="2:6" x14ac:dyDescent="0.3">
      <c r="B805">
        <v>0.8</v>
      </c>
      <c r="C805">
        <v>1.9953027776647201</v>
      </c>
      <c r="D805">
        <f t="shared" si="36"/>
        <v>1.9953027776647294</v>
      </c>
      <c r="E805">
        <f t="shared" si="37"/>
        <v>9.3258734068513149E-15</v>
      </c>
      <c r="F805">
        <f t="shared" si="38"/>
        <v>4.6629367034256575E-15</v>
      </c>
    </row>
    <row r="806" spans="2:6" x14ac:dyDescent="0.3">
      <c r="B806">
        <v>0.80100000000000005</v>
      </c>
      <c r="C806">
        <v>1.99724630593042</v>
      </c>
      <c r="D806">
        <f t="shared" si="36"/>
        <v>1.9972463059304293</v>
      </c>
      <c r="E806">
        <f t="shared" si="37"/>
        <v>9.3258734068513149E-15</v>
      </c>
      <c r="F806">
        <f t="shared" si="38"/>
        <v>4.6629367034256575E-15</v>
      </c>
    </row>
    <row r="807" spans="2:6" x14ac:dyDescent="0.3">
      <c r="B807">
        <v>0.80200000000000005</v>
      </c>
      <c r="C807">
        <v>1.99920168702451</v>
      </c>
      <c r="D807">
        <f t="shared" si="36"/>
        <v>1.9992016870245184</v>
      </c>
      <c r="E807">
        <f t="shared" si="37"/>
        <v>8.4376949871511897E-15</v>
      </c>
      <c r="F807">
        <f t="shared" si="38"/>
        <v>4.2188474935755949E-15</v>
      </c>
    </row>
    <row r="808" spans="2:6" x14ac:dyDescent="0.3">
      <c r="B808">
        <v>0.80300000000000005</v>
      </c>
      <c r="C808">
        <v>2.00116904328191</v>
      </c>
      <c r="D808">
        <f t="shared" si="36"/>
        <v>2.0011690432819136</v>
      </c>
      <c r="E808">
        <f t="shared" si="37"/>
        <v>3.5527136788005009E-15</v>
      </c>
      <c r="F808">
        <f t="shared" si="38"/>
        <v>1.7763568394002505E-15</v>
      </c>
    </row>
    <row r="809" spans="2:6" x14ac:dyDescent="0.3">
      <c r="B809">
        <v>0.80400000000000005</v>
      </c>
      <c r="C809">
        <v>2.0031484989316302</v>
      </c>
      <c r="D809">
        <f t="shared" si="36"/>
        <v>2.0031484989316373</v>
      </c>
      <c r="E809">
        <f t="shared" si="37"/>
        <v>7.1054273576010019E-15</v>
      </c>
      <c r="F809">
        <f t="shared" si="38"/>
        <v>3.5527136788005009E-15</v>
      </c>
    </row>
    <row r="810" spans="2:6" x14ac:dyDescent="0.3">
      <c r="B810">
        <v>0.80500000000000005</v>
      </c>
      <c r="C810">
        <v>2.0051401801358302</v>
      </c>
      <c r="D810">
        <f t="shared" si="36"/>
        <v>2.0051401801358377</v>
      </c>
      <c r="E810">
        <f t="shared" si="37"/>
        <v>7.5495165674510645E-15</v>
      </c>
      <c r="F810">
        <f t="shared" si="38"/>
        <v>3.7747582837255322E-15</v>
      </c>
    </row>
    <row r="811" spans="2:6" x14ac:dyDescent="0.3">
      <c r="B811">
        <v>0.80600000000000005</v>
      </c>
      <c r="C811">
        <v>2.00714421502982</v>
      </c>
      <c r="D811">
        <f t="shared" si="36"/>
        <v>2.0071442150298253</v>
      </c>
      <c r="E811">
        <f t="shared" si="37"/>
        <v>5.3290705182007514E-15</v>
      </c>
      <c r="F811">
        <f t="shared" si="38"/>
        <v>2.6645352591003757E-15</v>
      </c>
    </row>
    <row r="812" spans="2:6" x14ac:dyDescent="0.3">
      <c r="B812">
        <v>0.80700000000000005</v>
      </c>
      <c r="C812">
        <v>2.0091607337631299</v>
      </c>
      <c r="D812">
        <f t="shared" si="36"/>
        <v>2.009160733763137</v>
      </c>
      <c r="E812">
        <f t="shared" si="37"/>
        <v>7.1054273576010019E-15</v>
      </c>
      <c r="F812">
        <f t="shared" si="38"/>
        <v>3.5527136788005009E-15</v>
      </c>
    </row>
    <row r="813" spans="2:6" x14ac:dyDescent="0.3">
      <c r="B813">
        <v>0.80800000000000005</v>
      </c>
      <c r="C813">
        <v>2.0111898685416798</v>
      </c>
      <c r="D813">
        <f t="shared" si="36"/>
        <v>2.0111898685416807</v>
      </c>
      <c r="E813">
        <f t="shared" si="37"/>
        <v>0</v>
      </c>
      <c r="F813">
        <f t="shared" si="38"/>
        <v>0</v>
      </c>
    </row>
    <row r="814" spans="2:6" x14ac:dyDescent="0.3">
      <c r="B814">
        <v>0.80900000000000005</v>
      </c>
      <c r="C814">
        <v>2.0132317536709801</v>
      </c>
      <c r="D814">
        <f t="shared" si="36"/>
        <v>2.0132317536709805</v>
      </c>
      <c r="E814">
        <f t="shared" si="37"/>
        <v>0</v>
      </c>
      <c r="F814">
        <f t="shared" si="38"/>
        <v>0</v>
      </c>
    </row>
    <row r="815" spans="2:6" x14ac:dyDescent="0.3">
      <c r="B815">
        <v>0.81</v>
      </c>
      <c r="C815">
        <v>2.0152865256005601</v>
      </c>
      <c r="D815">
        <f t="shared" si="36"/>
        <v>2.0152865256005645</v>
      </c>
      <c r="E815">
        <f t="shared" si="37"/>
        <v>4.4408920985006262E-15</v>
      </c>
      <c r="F815">
        <f t="shared" si="38"/>
        <v>2.2204460492503131E-15</v>
      </c>
    </row>
    <row r="816" spans="2:6" x14ac:dyDescent="0.3">
      <c r="B816">
        <v>0.81100000000000005</v>
      </c>
      <c r="C816">
        <v>2.0173543229695201</v>
      </c>
      <c r="D816">
        <f t="shared" si="36"/>
        <v>2.0173543229695259</v>
      </c>
      <c r="E816">
        <f t="shared" si="37"/>
        <v>5.773159728050814E-15</v>
      </c>
      <c r="F816">
        <f t="shared" si="38"/>
        <v>2.886579864025407E-15</v>
      </c>
    </row>
    <row r="817" spans="2:6" x14ac:dyDescent="0.3">
      <c r="B817">
        <v>0.81200000000000006</v>
      </c>
      <c r="C817">
        <v>2.0194352866532999</v>
      </c>
      <c r="D817">
        <f t="shared" si="36"/>
        <v>2.0194352866533012</v>
      </c>
      <c r="E817">
        <f t="shared" si="37"/>
        <v>0</v>
      </c>
      <c r="F817">
        <f t="shared" si="38"/>
        <v>0</v>
      </c>
    </row>
    <row r="818" spans="2:6" x14ac:dyDescent="0.3">
      <c r="B818">
        <v>0.81299999999999994</v>
      </c>
      <c r="C818">
        <v>2.02152955981169</v>
      </c>
      <c r="D818">
        <f t="shared" si="36"/>
        <v>2.0215295598116976</v>
      </c>
      <c r="E818">
        <f t="shared" si="37"/>
        <v>7.5495165674510645E-15</v>
      </c>
      <c r="F818">
        <f t="shared" si="38"/>
        <v>3.7747582837255322E-15</v>
      </c>
    </row>
    <row r="819" spans="2:6" x14ac:dyDescent="0.3">
      <c r="B819">
        <v>0.81399999999999995</v>
      </c>
      <c r="C819">
        <v>2.0236372879382101</v>
      </c>
      <c r="D819">
        <f t="shared" si="36"/>
        <v>2.0236372879382185</v>
      </c>
      <c r="E819">
        <f t="shared" si="37"/>
        <v>8.4376949871511897E-15</v>
      </c>
      <c r="F819">
        <f t="shared" si="38"/>
        <v>4.2188474935755949E-15</v>
      </c>
    </row>
    <row r="820" spans="2:6" x14ac:dyDescent="0.3">
      <c r="B820">
        <v>0.81499999999999995</v>
      </c>
      <c r="C820">
        <v>2.02575861891071</v>
      </c>
      <c r="D820">
        <f t="shared" si="36"/>
        <v>2.0257586189107184</v>
      </c>
      <c r="E820">
        <f t="shared" si="37"/>
        <v>8.4376949871511897E-15</v>
      </c>
      <c r="F820">
        <f t="shared" si="38"/>
        <v>4.2188474935755949E-15</v>
      </c>
    </row>
    <row r="821" spans="2:6" x14ac:dyDescent="0.3">
      <c r="B821">
        <v>0.81599999999999995</v>
      </c>
      <c r="C821">
        <v>2.0278937030434401</v>
      </c>
      <c r="D821">
        <f t="shared" si="36"/>
        <v>2.0278937030434401</v>
      </c>
      <c r="E821">
        <f t="shared" si="37"/>
        <v>0</v>
      </c>
      <c r="F821">
        <f t="shared" si="38"/>
        <v>0</v>
      </c>
    </row>
    <row r="822" spans="2:6" x14ac:dyDescent="0.3">
      <c r="B822">
        <v>0.81699999999999995</v>
      </c>
      <c r="C822">
        <v>2.0300426931404698</v>
      </c>
      <c r="D822">
        <f t="shared" si="36"/>
        <v>2.0300426931404765</v>
      </c>
      <c r="E822">
        <f t="shared" si="37"/>
        <v>6.6613381477509392E-15</v>
      </c>
      <c r="F822">
        <f t="shared" si="38"/>
        <v>3.3306690738754696E-15</v>
      </c>
    </row>
    <row r="823" spans="2:6" x14ac:dyDescent="0.3">
      <c r="B823">
        <v>0.81799999999999995</v>
      </c>
      <c r="C823">
        <v>2.0322057445506898</v>
      </c>
      <c r="D823">
        <f t="shared" si="36"/>
        <v>2.0322057445506996</v>
      </c>
      <c r="E823">
        <f t="shared" si="37"/>
        <v>9.7699626167013776E-15</v>
      </c>
      <c r="F823">
        <f t="shared" si="38"/>
        <v>4.8849813083506888E-15</v>
      </c>
    </row>
    <row r="824" spans="2:6" x14ac:dyDescent="0.3">
      <c r="B824">
        <v>0.81899999999999995</v>
      </c>
      <c r="C824">
        <v>2.0343830152242099</v>
      </c>
      <c r="D824">
        <f t="shared" si="36"/>
        <v>2.0343830152242131</v>
      </c>
      <c r="E824">
        <f t="shared" si="37"/>
        <v>0</v>
      </c>
      <c r="F824">
        <f t="shared" si="38"/>
        <v>0</v>
      </c>
    </row>
    <row r="825" spans="2:6" x14ac:dyDescent="0.3">
      <c r="B825">
        <v>0.82</v>
      </c>
      <c r="C825">
        <v>2.0365746657703698</v>
      </c>
      <c r="D825">
        <f t="shared" si="36"/>
        <v>2.0365746657703712</v>
      </c>
      <c r="E825">
        <f t="shared" si="37"/>
        <v>0</v>
      </c>
      <c r="F825">
        <f t="shared" si="38"/>
        <v>0</v>
      </c>
    </row>
    <row r="826" spans="2:6" x14ac:dyDescent="0.3">
      <c r="B826">
        <v>0.82099999999999995</v>
      </c>
      <c r="C826">
        <v>2.0387808595174199</v>
      </c>
      <c r="D826">
        <f t="shared" si="36"/>
        <v>2.0387808595174253</v>
      </c>
      <c r="E826">
        <f t="shared" si="37"/>
        <v>5.3290705182007514E-15</v>
      </c>
      <c r="F826">
        <f t="shared" si="38"/>
        <v>2.6645352591003757E-15</v>
      </c>
    </row>
    <row r="827" spans="2:6" x14ac:dyDescent="0.3">
      <c r="B827">
        <v>0.82199999999999995</v>
      </c>
      <c r="C827">
        <v>2.0410017625738401</v>
      </c>
      <c r="D827">
        <f t="shared" si="36"/>
        <v>2.0410017625738437</v>
      </c>
      <c r="E827">
        <f t="shared" si="37"/>
        <v>3.5527136788005009E-15</v>
      </c>
      <c r="F827">
        <f t="shared" si="38"/>
        <v>1.7763568394002505E-15</v>
      </c>
    </row>
    <row r="828" spans="2:6" x14ac:dyDescent="0.3">
      <c r="B828">
        <v>0.82299999999999995</v>
      </c>
      <c r="C828">
        <v>2.0432375438913599</v>
      </c>
      <c r="D828">
        <f t="shared" si="36"/>
        <v>2.0432375438913688</v>
      </c>
      <c r="E828">
        <f t="shared" si="37"/>
        <v>8.8817841970012523E-15</v>
      </c>
      <c r="F828">
        <f t="shared" si="38"/>
        <v>4.4408920985006262E-15</v>
      </c>
    </row>
    <row r="829" spans="2:6" x14ac:dyDescent="0.3">
      <c r="B829">
        <v>0.82399999999999995</v>
      </c>
      <c r="C829">
        <v>2.0454883753298598</v>
      </c>
      <c r="D829">
        <f t="shared" si="36"/>
        <v>2.0454883753298647</v>
      </c>
      <c r="E829">
        <f t="shared" si="37"/>
        <v>4.8849813083506888E-15</v>
      </c>
      <c r="F829">
        <f t="shared" si="38"/>
        <v>2.4424906541753444E-15</v>
      </c>
    </row>
    <row r="830" spans="2:6" x14ac:dyDescent="0.3">
      <c r="B830">
        <v>0.82499999999999996</v>
      </c>
      <c r="C830">
        <v>2.0477544317240199</v>
      </c>
      <c r="D830">
        <f t="shared" si="36"/>
        <v>2.0477544317240248</v>
      </c>
      <c r="E830">
        <f t="shared" si="37"/>
        <v>4.8849813083506888E-15</v>
      </c>
      <c r="F830">
        <f t="shared" si="38"/>
        <v>2.4424906541753444E-15</v>
      </c>
    </row>
    <row r="831" spans="2:6" x14ac:dyDescent="0.3">
      <c r="B831">
        <v>0.82599999999999996</v>
      </c>
      <c r="C831">
        <v>2.0500358909519898</v>
      </c>
      <c r="D831">
        <f t="shared" si="36"/>
        <v>2.0500358909519942</v>
      </c>
      <c r="E831">
        <f t="shared" si="37"/>
        <v>4.4408920985006262E-15</v>
      </c>
      <c r="F831">
        <f t="shared" si="38"/>
        <v>2.2204460492503131E-15</v>
      </c>
    </row>
    <row r="832" spans="2:6" x14ac:dyDescent="0.3">
      <c r="B832">
        <v>0.82699999999999996</v>
      </c>
      <c r="C832">
        <v>2.0523329340059702</v>
      </c>
      <c r="D832">
        <f t="shared" si="36"/>
        <v>2.0523329340059786</v>
      </c>
      <c r="E832">
        <f t="shared" si="37"/>
        <v>8.4376949871511897E-15</v>
      </c>
      <c r="F832">
        <f t="shared" si="38"/>
        <v>4.2188474935755949E-15</v>
      </c>
    </row>
    <row r="833" spans="2:6" x14ac:dyDescent="0.3">
      <c r="B833">
        <v>0.82799999999999996</v>
      </c>
      <c r="C833">
        <v>2.05464574506491</v>
      </c>
      <c r="D833">
        <f t="shared" si="36"/>
        <v>2.05464574506491</v>
      </c>
      <c r="E833">
        <f t="shared" si="37"/>
        <v>0</v>
      </c>
      <c r="F833">
        <f t="shared" si="38"/>
        <v>0</v>
      </c>
    </row>
    <row r="834" spans="2:6" x14ac:dyDescent="0.3">
      <c r="B834">
        <v>0.82899999999999996</v>
      </c>
      <c r="C834">
        <v>2.0569745115692299</v>
      </c>
      <c r="D834">
        <f t="shared" si="36"/>
        <v>2.0569745115692379</v>
      </c>
      <c r="E834">
        <f t="shared" si="37"/>
        <v>7.9936057773011271E-15</v>
      </c>
      <c r="F834">
        <f t="shared" si="38"/>
        <v>3.9968028886505635E-15</v>
      </c>
    </row>
    <row r="835" spans="2:6" x14ac:dyDescent="0.3">
      <c r="B835">
        <v>0.83</v>
      </c>
      <c r="C835">
        <v>2.0593194242979198</v>
      </c>
      <c r="D835">
        <f t="shared" si="36"/>
        <v>2.0593194242979203</v>
      </c>
      <c r="E835">
        <f t="shared" si="37"/>
        <v>0</v>
      </c>
      <c r="F835">
        <f t="shared" si="38"/>
        <v>0</v>
      </c>
    </row>
    <row r="836" spans="2:6" x14ac:dyDescent="0.3">
      <c r="B836">
        <v>0.83099999999999996</v>
      </c>
      <c r="C836">
        <v>2.0616806774477001</v>
      </c>
      <c r="D836">
        <f t="shared" si="36"/>
        <v>2.061680677447701</v>
      </c>
      <c r="E836">
        <f t="shared" si="37"/>
        <v>0</v>
      </c>
      <c r="F836">
        <f t="shared" si="38"/>
        <v>0</v>
      </c>
    </row>
    <row r="837" spans="2:6" x14ac:dyDescent="0.3">
      <c r="B837">
        <v>0.83199999999999996</v>
      </c>
      <c r="C837">
        <v>2.0640584687147401</v>
      </c>
      <c r="D837">
        <f t="shared" si="36"/>
        <v>2.0640584687147414</v>
      </c>
      <c r="E837">
        <f t="shared" si="37"/>
        <v>0</v>
      </c>
      <c r="F837">
        <f t="shared" si="38"/>
        <v>0</v>
      </c>
    </row>
    <row r="838" spans="2:6" x14ac:dyDescent="0.3">
      <c r="B838">
        <v>0.83299999999999996</v>
      </c>
      <c r="C838">
        <v>2.0664529993787002</v>
      </c>
      <c r="D838">
        <f t="shared" ref="D838:D901" si="39">completeElliptic1($B838*$B838)</f>
        <v>2.0664529993787046</v>
      </c>
      <c r="E838">
        <f t="shared" ref="E838:E901" si="40">$D838-$C838</f>
        <v>4.4408920985006262E-15</v>
      </c>
      <c r="F838">
        <f t="shared" ref="F838:F901" si="41">$D838/$C838-1</f>
        <v>2.2204460492503131E-15</v>
      </c>
    </row>
    <row r="839" spans="2:6" x14ac:dyDescent="0.3">
      <c r="B839">
        <v>0.83399999999999996</v>
      </c>
      <c r="C839">
        <v>2.0688644743893598</v>
      </c>
      <c r="D839">
        <f t="shared" si="39"/>
        <v>2.0688644743893692</v>
      </c>
      <c r="E839">
        <f t="shared" si="40"/>
        <v>9.3258734068513149E-15</v>
      </c>
      <c r="F839">
        <f t="shared" si="41"/>
        <v>4.4408920985006262E-15</v>
      </c>
    </row>
    <row r="840" spans="2:6" x14ac:dyDescent="0.3">
      <c r="B840">
        <v>0.83499999999999996</v>
      </c>
      <c r="C840">
        <v>2.0712931024558698</v>
      </c>
      <c r="D840">
        <f t="shared" si="39"/>
        <v>2.0712931024558752</v>
      </c>
      <c r="E840">
        <f t="shared" si="40"/>
        <v>5.3290705182007514E-15</v>
      </c>
      <c r="F840">
        <f t="shared" si="41"/>
        <v>2.6645352591003757E-15</v>
      </c>
    </row>
    <row r="841" spans="2:6" x14ac:dyDescent="0.3">
      <c r="B841">
        <v>0.83599999999999997</v>
      </c>
      <c r="C841">
        <v>2.0737390961386799</v>
      </c>
      <c r="D841">
        <f t="shared" si="39"/>
        <v>2.0737390961386879</v>
      </c>
      <c r="E841">
        <f t="shared" si="40"/>
        <v>7.9936057773011271E-15</v>
      </c>
      <c r="F841">
        <f t="shared" si="41"/>
        <v>3.7747582837255322E-15</v>
      </c>
    </row>
    <row r="842" spans="2:6" x14ac:dyDescent="0.3">
      <c r="B842">
        <v>0.83699999999999997</v>
      </c>
      <c r="C842">
        <v>2.07620267194438</v>
      </c>
      <c r="D842">
        <f t="shared" si="39"/>
        <v>2.0762026719443898</v>
      </c>
      <c r="E842">
        <f t="shared" si="40"/>
        <v>9.7699626167013776E-15</v>
      </c>
      <c r="F842">
        <f t="shared" si="41"/>
        <v>4.6629367034256575E-15</v>
      </c>
    </row>
    <row r="843" spans="2:6" x14ac:dyDescent="0.3">
      <c r="B843">
        <v>0.83799999999999997</v>
      </c>
      <c r="C843">
        <v>2.0786840504233899</v>
      </c>
      <c r="D843">
        <f t="shared" si="39"/>
        <v>2.0786840504233948</v>
      </c>
      <c r="E843">
        <f t="shared" si="40"/>
        <v>4.8849813083506888E-15</v>
      </c>
      <c r="F843">
        <f t="shared" si="41"/>
        <v>2.4424906541753444E-15</v>
      </c>
    </row>
    <row r="844" spans="2:6" x14ac:dyDescent="0.3">
      <c r="B844">
        <v>0.83899999999999997</v>
      </c>
      <c r="C844">
        <v>2.0811834562707001</v>
      </c>
      <c r="D844">
        <f t="shared" si="39"/>
        <v>2.0811834562707054</v>
      </c>
      <c r="E844">
        <f t="shared" si="40"/>
        <v>5.3290705182007514E-15</v>
      </c>
      <c r="F844">
        <f t="shared" si="41"/>
        <v>2.6645352591003757E-15</v>
      </c>
    </row>
    <row r="845" spans="2:6" x14ac:dyDescent="0.3">
      <c r="B845">
        <v>0.84</v>
      </c>
      <c r="C845">
        <v>2.08370111842981</v>
      </c>
      <c r="D845">
        <f t="shared" si="39"/>
        <v>2.0837011184298162</v>
      </c>
      <c r="E845">
        <f t="shared" si="40"/>
        <v>6.2172489379008766E-15</v>
      </c>
      <c r="F845">
        <f t="shared" si="41"/>
        <v>2.886579864025407E-15</v>
      </c>
    </row>
    <row r="846" spans="2:6" x14ac:dyDescent="0.3">
      <c r="B846">
        <v>0.84099999999999997</v>
      </c>
      <c r="C846">
        <v>2.0862372701998799</v>
      </c>
      <c r="D846">
        <f t="shared" si="39"/>
        <v>2.0862372701998857</v>
      </c>
      <c r="E846">
        <f t="shared" si="40"/>
        <v>5.773159728050814E-15</v>
      </c>
      <c r="F846">
        <f t="shared" si="41"/>
        <v>2.6645352591003757E-15</v>
      </c>
    </row>
    <row r="847" spans="2:6" x14ac:dyDescent="0.3">
      <c r="B847">
        <v>0.84199999999999997</v>
      </c>
      <c r="C847">
        <v>2.0887921493463</v>
      </c>
      <c r="D847">
        <f t="shared" si="39"/>
        <v>2.0887921493463075</v>
      </c>
      <c r="E847">
        <f t="shared" si="40"/>
        <v>7.5495165674510645E-15</v>
      </c>
      <c r="F847">
        <f t="shared" si="41"/>
        <v>3.5527136788005009E-15</v>
      </c>
    </row>
    <row r="848" spans="2:6" x14ac:dyDescent="0.3">
      <c r="B848">
        <v>0.84299999999999997</v>
      </c>
      <c r="C848">
        <v>2.0913659982147901</v>
      </c>
      <c r="D848">
        <f t="shared" si="39"/>
        <v>2.0913659982147985</v>
      </c>
      <c r="E848">
        <f t="shared" si="40"/>
        <v>8.4376949871511897E-15</v>
      </c>
      <c r="F848">
        <f t="shared" si="41"/>
        <v>3.9968028886505635E-15</v>
      </c>
    </row>
    <row r="849" spans="2:6" x14ac:dyDescent="0.3">
      <c r="B849">
        <v>0.84399999999999997</v>
      </c>
      <c r="C849">
        <v>2.0939590638491401</v>
      </c>
      <c r="D849">
        <f t="shared" si="39"/>
        <v>2.093959063849149</v>
      </c>
      <c r="E849">
        <f t="shared" si="40"/>
        <v>8.8817841970012523E-15</v>
      </c>
      <c r="F849">
        <f t="shared" si="41"/>
        <v>4.2188474935755949E-15</v>
      </c>
    </row>
    <row r="850" spans="2:6" x14ac:dyDescent="0.3">
      <c r="B850">
        <v>0.84499999999999997</v>
      </c>
      <c r="C850">
        <v>2.0965715981127699</v>
      </c>
      <c r="D850">
        <f t="shared" si="39"/>
        <v>2.0965715981127704</v>
      </c>
      <c r="E850">
        <f t="shared" si="40"/>
        <v>0</v>
      </c>
      <c r="F850">
        <f t="shared" si="41"/>
        <v>0</v>
      </c>
    </row>
    <row r="851" spans="2:6" x14ac:dyDescent="0.3">
      <c r="B851">
        <v>0.84599999999999997</v>
      </c>
      <c r="C851">
        <v>2.0992038578141901</v>
      </c>
      <c r="D851">
        <f t="shared" si="39"/>
        <v>2.0992038578141954</v>
      </c>
      <c r="E851">
        <f t="shared" si="40"/>
        <v>5.3290705182007514E-15</v>
      </c>
      <c r="F851">
        <f t="shared" si="41"/>
        <v>2.4424906541753444E-15</v>
      </c>
    </row>
    <row r="852" spans="2:6" x14ac:dyDescent="0.3">
      <c r="B852">
        <v>0.84699999999999998</v>
      </c>
      <c r="C852">
        <v>2.1018561048366702</v>
      </c>
      <c r="D852">
        <f t="shared" si="39"/>
        <v>2.1018561048366751</v>
      </c>
      <c r="E852">
        <f t="shared" si="40"/>
        <v>4.8849813083506888E-15</v>
      </c>
      <c r="F852">
        <f t="shared" si="41"/>
        <v>2.2204460492503131E-15</v>
      </c>
    </row>
    <row r="853" spans="2:6" x14ac:dyDescent="0.3">
      <c r="B853">
        <v>0.84799999999999998</v>
      </c>
      <c r="C853">
        <v>2.1045286062720399</v>
      </c>
      <c r="D853">
        <f t="shared" si="39"/>
        <v>2.1045286062720443</v>
      </c>
      <c r="E853">
        <f t="shared" si="40"/>
        <v>4.4408920985006262E-15</v>
      </c>
      <c r="F853">
        <f t="shared" si="41"/>
        <v>2.2204460492503131E-15</v>
      </c>
    </row>
    <row r="854" spans="2:6" x14ac:dyDescent="0.3">
      <c r="B854">
        <v>0.84899999999999998</v>
      </c>
      <c r="C854">
        <v>2.1072216345590098</v>
      </c>
      <c r="D854">
        <f t="shared" si="39"/>
        <v>2.1072216345590191</v>
      </c>
      <c r="E854">
        <f t="shared" si="40"/>
        <v>9.3258734068513149E-15</v>
      </c>
      <c r="F854">
        <f t="shared" si="41"/>
        <v>4.4408920985006262E-15</v>
      </c>
    </row>
    <row r="855" spans="2:6" x14ac:dyDescent="0.3">
      <c r="B855">
        <v>0.85</v>
      </c>
      <c r="C855">
        <v>2.1099354676261002</v>
      </c>
      <c r="D855">
        <f t="shared" si="39"/>
        <v>2.1099354676261082</v>
      </c>
      <c r="E855">
        <f t="shared" si="40"/>
        <v>7.9936057773011271E-15</v>
      </c>
      <c r="F855">
        <f t="shared" si="41"/>
        <v>3.7747582837255322E-15</v>
      </c>
    </row>
    <row r="856" spans="2:6" x14ac:dyDescent="0.3">
      <c r="B856">
        <v>0.85099999999999998</v>
      </c>
      <c r="C856">
        <v>2.1126703890393101</v>
      </c>
      <c r="D856">
        <f t="shared" si="39"/>
        <v>2.1126703890393159</v>
      </c>
      <c r="E856">
        <f t="shared" si="40"/>
        <v>5.773159728050814E-15</v>
      </c>
      <c r="F856">
        <f t="shared" si="41"/>
        <v>2.6645352591003757E-15</v>
      </c>
    </row>
    <row r="857" spans="2:6" x14ac:dyDescent="0.3">
      <c r="B857">
        <v>0.85199999999999998</v>
      </c>
      <c r="C857">
        <v>2.1154266881548298</v>
      </c>
      <c r="D857">
        <f t="shared" si="39"/>
        <v>2.11542668815484</v>
      </c>
      <c r="E857">
        <f t="shared" si="40"/>
        <v>1.021405182655144E-14</v>
      </c>
      <c r="F857">
        <f t="shared" si="41"/>
        <v>4.8849813083506888E-15</v>
      </c>
    </row>
    <row r="858" spans="2:6" x14ac:dyDescent="0.3">
      <c r="B858">
        <v>0.85299999999999998</v>
      </c>
      <c r="C858">
        <v>2.1182046602769602</v>
      </c>
      <c r="D858">
        <f t="shared" si="39"/>
        <v>2.1182046602769624</v>
      </c>
      <c r="E858">
        <f t="shared" si="40"/>
        <v>0</v>
      </c>
      <c r="F858">
        <f t="shared" si="41"/>
        <v>0</v>
      </c>
    </row>
    <row r="859" spans="2:6" x14ac:dyDescent="0.3">
      <c r="B859">
        <v>0.85399999999999998</v>
      </c>
      <c r="C859">
        <v>2.12100460682134</v>
      </c>
      <c r="D859">
        <f t="shared" si="39"/>
        <v>2.1210046068213475</v>
      </c>
      <c r="E859">
        <f t="shared" si="40"/>
        <v>7.5495165674510645E-15</v>
      </c>
      <c r="F859">
        <f t="shared" si="41"/>
        <v>3.5527136788005009E-15</v>
      </c>
    </row>
    <row r="860" spans="2:6" x14ac:dyDescent="0.3">
      <c r="B860">
        <v>0.85499999999999998</v>
      </c>
      <c r="C860">
        <v>2.1238268354839702</v>
      </c>
      <c r="D860">
        <f t="shared" si="39"/>
        <v>2.1238268354839711</v>
      </c>
      <c r="E860">
        <f t="shared" si="40"/>
        <v>0</v>
      </c>
      <c r="F860">
        <f t="shared" si="41"/>
        <v>0</v>
      </c>
    </row>
    <row r="861" spans="2:6" x14ac:dyDescent="0.3">
      <c r="B861">
        <v>0.85599999999999998</v>
      </c>
      <c r="C861">
        <v>2.1266716604159099</v>
      </c>
      <c r="D861">
        <f t="shared" si="39"/>
        <v>2.1266716604159166</v>
      </c>
      <c r="E861">
        <f t="shared" si="40"/>
        <v>6.6613381477509392E-15</v>
      </c>
      <c r="F861">
        <f t="shared" si="41"/>
        <v>3.1086244689504383E-15</v>
      </c>
    </row>
    <row r="862" spans="2:6" x14ac:dyDescent="0.3">
      <c r="B862">
        <v>0.85699999999999998</v>
      </c>
      <c r="C862">
        <v>2.1295394024042702</v>
      </c>
      <c r="D862">
        <f t="shared" si="39"/>
        <v>2.1295394024042786</v>
      </c>
      <c r="E862">
        <f t="shared" si="40"/>
        <v>8.4376949871511897E-15</v>
      </c>
      <c r="F862">
        <f t="shared" si="41"/>
        <v>3.9968028886505635E-15</v>
      </c>
    </row>
    <row r="863" spans="2:6" x14ac:dyDescent="0.3">
      <c r="B863">
        <v>0.85799999999999998</v>
      </c>
      <c r="C863">
        <v>2.1324303890594298</v>
      </c>
      <c r="D863">
        <f t="shared" si="39"/>
        <v>2.1324303890594396</v>
      </c>
      <c r="E863">
        <f t="shared" si="40"/>
        <v>9.7699626167013776E-15</v>
      </c>
      <c r="F863">
        <f t="shared" si="41"/>
        <v>4.6629367034256575E-15</v>
      </c>
    </row>
    <row r="864" spans="2:6" x14ac:dyDescent="0.3">
      <c r="B864">
        <v>0.85899999999999999</v>
      </c>
      <c r="C864">
        <v>2.1353449550089798</v>
      </c>
      <c r="D864">
        <f t="shared" si="39"/>
        <v>2.1353449550089865</v>
      </c>
      <c r="E864">
        <f t="shared" si="40"/>
        <v>6.6613381477509392E-15</v>
      </c>
      <c r="F864">
        <f t="shared" si="41"/>
        <v>3.1086244689504383E-15</v>
      </c>
    </row>
    <row r="865" spans="2:6" x14ac:dyDescent="0.3">
      <c r="B865">
        <v>0.86</v>
      </c>
      <c r="C865">
        <v>2.1382834420985399</v>
      </c>
      <c r="D865">
        <f t="shared" si="39"/>
        <v>2.1382834420985461</v>
      </c>
      <c r="E865">
        <f t="shared" si="40"/>
        <v>6.2172489379008766E-15</v>
      </c>
      <c r="F865">
        <f t="shared" si="41"/>
        <v>2.886579864025407E-15</v>
      </c>
    </row>
    <row r="866" spans="2:6" x14ac:dyDescent="0.3">
      <c r="B866">
        <v>0.86099999999999999</v>
      </c>
      <c r="C866">
        <v>2.1412461995998502</v>
      </c>
      <c r="D866">
        <f t="shared" si="39"/>
        <v>2.1412461995998515</v>
      </c>
      <c r="E866">
        <f t="shared" si="40"/>
        <v>0</v>
      </c>
      <c r="F866">
        <f t="shared" si="41"/>
        <v>0</v>
      </c>
    </row>
    <row r="867" spans="2:6" x14ac:dyDescent="0.3">
      <c r="B867">
        <v>0.86199999999999999</v>
      </c>
      <c r="C867">
        <v>2.1442335844263298</v>
      </c>
      <c r="D867">
        <f t="shared" si="39"/>
        <v>2.1442335844263338</v>
      </c>
      <c r="E867">
        <f t="shared" si="40"/>
        <v>3.9968028886505635E-15</v>
      </c>
      <c r="F867">
        <f t="shared" si="41"/>
        <v>1.7763568394002505E-15</v>
      </c>
    </row>
    <row r="868" spans="2:6" x14ac:dyDescent="0.3">
      <c r="B868">
        <v>0.86299999999999999</v>
      </c>
      <c r="C868">
        <v>2.1472459613565902</v>
      </c>
      <c r="D868">
        <f t="shared" si="39"/>
        <v>2.1472459613565937</v>
      </c>
      <c r="E868">
        <f t="shared" si="40"/>
        <v>3.5527136788005009E-15</v>
      </c>
      <c r="F868">
        <f t="shared" si="41"/>
        <v>0</v>
      </c>
    </row>
    <row r="869" spans="2:6" x14ac:dyDescent="0.3">
      <c r="B869">
        <v>0.86399999999999999</v>
      </c>
      <c r="C869">
        <v>2.15028370326606</v>
      </c>
      <c r="D869">
        <f t="shared" si="39"/>
        <v>2.1502837032660689</v>
      </c>
      <c r="E869">
        <f t="shared" si="40"/>
        <v>8.8817841970012523E-15</v>
      </c>
      <c r="F869">
        <f t="shared" si="41"/>
        <v>4.2188474935755949E-15</v>
      </c>
    </row>
    <row r="870" spans="2:6" x14ac:dyDescent="0.3">
      <c r="B870">
        <v>0.86499999999999999</v>
      </c>
      <c r="C870">
        <v>2.1533471913672901</v>
      </c>
      <c r="D870">
        <f t="shared" si="39"/>
        <v>2.1533471913672937</v>
      </c>
      <c r="E870">
        <f t="shared" si="40"/>
        <v>3.5527136788005009E-15</v>
      </c>
      <c r="F870">
        <f t="shared" si="41"/>
        <v>0</v>
      </c>
    </row>
    <row r="871" spans="2:6" x14ac:dyDescent="0.3">
      <c r="B871">
        <v>0.86599999999999999</v>
      </c>
      <c r="C871">
        <v>2.1564368154591</v>
      </c>
      <c r="D871">
        <f t="shared" si="39"/>
        <v>2.1564368154591076</v>
      </c>
      <c r="E871">
        <f t="shared" si="40"/>
        <v>7.5495165674510645E-15</v>
      </c>
      <c r="F871">
        <f t="shared" si="41"/>
        <v>3.5527136788005009E-15</v>
      </c>
    </row>
    <row r="872" spans="2:6" x14ac:dyDescent="0.3">
      <c r="B872">
        <v>0.86699999999999999</v>
      </c>
      <c r="C872">
        <v>2.15955297418523</v>
      </c>
      <c r="D872">
        <f t="shared" si="39"/>
        <v>2.1595529741852344</v>
      </c>
      <c r="E872">
        <f t="shared" si="40"/>
        <v>4.4408920985006262E-15</v>
      </c>
      <c r="F872">
        <f t="shared" si="41"/>
        <v>1.9984014443252818E-15</v>
      </c>
    </row>
    <row r="873" spans="2:6" x14ac:dyDescent="0.3">
      <c r="B873">
        <v>0.86799999999999999</v>
      </c>
      <c r="C873">
        <v>2.1626960753026401</v>
      </c>
      <c r="D873">
        <f t="shared" si="39"/>
        <v>2.1626960753026463</v>
      </c>
      <c r="E873">
        <f t="shared" si="40"/>
        <v>6.2172489379008766E-15</v>
      </c>
      <c r="F873">
        <f t="shared" si="41"/>
        <v>2.886579864025407E-15</v>
      </c>
    </row>
    <row r="874" spans="2:6" x14ac:dyDescent="0.3">
      <c r="B874">
        <v>0.86899999999999999</v>
      </c>
      <c r="C874">
        <v>2.1658665359601601</v>
      </c>
      <c r="D874">
        <f t="shared" si="39"/>
        <v>2.1658665359601663</v>
      </c>
      <c r="E874">
        <f t="shared" si="40"/>
        <v>6.2172489379008766E-15</v>
      </c>
      <c r="F874">
        <f t="shared" si="41"/>
        <v>2.886579864025407E-15</v>
      </c>
    </row>
    <row r="875" spans="2:6" x14ac:dyDescent="0.3">
      <c r="B875">
        <v>0.87</v>
      </c>
      <c r="C875">
        <v>2.1690647829877698</v>
      </c>
      <c r="D875">
        <f t="shared" si="39"/>
        <v>2.1690647829877778</v>
      </c>
      <c r="E875">
        <f t="shared" si="40"/>
        <v>7.9936057773011271E-15</v>
      </c>
      <c r="F875">
        <f t="shared" si="41"/>
        <v>3.7747582837255322E-15</v>
      </c>
    </row>
    <row r="876" spans="2:6" x14ac:dyDescent="0.3">
      <c r="B876">
        <v>0.871</v>
      </c>
      <c r="C876">
        <v>2.1722912531971299</v>
      </c>
      <c r="D876">
        <f t="shared" si="39"/>
        <v>2.1722912531971397</v>
      </c>
      <c r="E876">
        <f t="shared" si="40"/>
        <v>9.7699626167013776E-15</v>
      </c>
      <c r="F876">
        <f t="shared" si="41"/>
        <v>4.4408920985006262E-15</v>
      </c>
    </row>
    <row r="877" spans="2:6" x14ac:dyDescent="0.3">
      <c r="B877">
        <v>0.872</v>
      </c>
      <c r="C877">
        <v>2.1755463936938302</v>
      </c>
      <c r="D877">
        <f t="shared" si="39"/>
        <v>2.1755463936938306</v>
      </c>
      <c r="E877">
        <f t="shared" si="40"/>
        <v>0</v>
      </c>
      <c r="F877">
        <f t="shared" si="41"/>
        <v>0</v>
      </c>
    </row>
    <row r="878" spans="2:6" x14ac:dyDescent="0.3">
      <c r="B878">
        <v>0.873</v>
      </c>
      <c r="C878">
        <v>2.1788306622018698</v>
      </c>
      <c r="D878">
        <f t="shared" si="39"/>
        <v>2.1788306622018769</v>
      </c>
      <c r="E878">
        <f t="shared" si="40"/>
        <v>7.1054273576010019E-15</v>
      </c>
      <c r="F878">
        <f t="shared" si="41"/>
        <v>3.3306690738754696E-15</v>
      </c>
    </row>
    <row r="879" spans="2:6" x14ac:dyDescent="0.3">
      <c r="B879">
        <v>0.874</v>
      </c>
      <c r="C879">
        <v>2.1821445274011402</v>
      </c>
      <c r="D879">
        <f t="shared" si="39"/>
        <v>2.1821445274011464</v>
      </c>
      <c r="E879">
        <f t="shared" si="40"/>
        <v>6.2172489379008766E-15</v>
      </c>
      <c r="F879">
        <f t="shared" si="41"/>
        <v>2.886579864025407E-15</v>
      </c>
    </row>
    <row r="880" spans="2:6" x14ac:dyDescent="0.3">
      <c r="B880">
        <v>0.875</v>
      </c>
      <c r="C880">
        <v>2.1854884692782202</v>
      </c>
      <c r="D880">
        <f t="shared" si="39"/>
        <v>2.1854884692782237</v>
      </c>
      <c r="E880">
        <f t="shared" si="40"/>
        <v>3.5527136788005009E-15</v>
      </c>
      <c r="F880">
        <f t="shared" si="41"/>
        <v>0</v>
      </c>
    </row>
    <row r="881" spans="2:6" x14ac:dyDescent="0.3">
      <c r="B881">
        <v>0.876</v>
      </c>
      <c r="C881">
        <v>2.1888629794914198</v>
      </c>
      <c r="D881">
        <f t="shared" si="39"/>
        <v>2.1888629794914225</v>
      </c>
      <c r="E881">
        <f t="shared" si="40"/>
        <v>0</v>
      </c>
      <c r="F881">
        <f t="shared" si="41"/>
        <v>0</v>
      </c>
    </row>
    <row r="882" spans="2:6" x14ac:dyDescent="0.3">
      <c r="B882">
        <v>0.877</v>
      </c>
      <c r="C882">
        <v>2.1922685617506099</v>
      </c>
      <c r="D882">
        <f t="shared" si="39"/>
        <v>2.1922685617506179</v>
      </c>
      <c r="E882">
        <f t="shared" si="40"/>
        <v>7.9936057773011271E-15</v>
      </c>
      <c r="F882">
        <f t="shared" si="41"/>
        <v>3.5527136788005009E-15</v>
      </c>
    </row>
    <row r="883" spans="2:6" x14ac:dyDescent="0.3">
      <c r="B883">
        <v>0.878</v>
      </c>
      <c r="C883">
        <v>2.1957057322126201</v>
      </c>
      <c r="D883">
        <f t="shared" si="39"/>
        <v>2.195705732212629</v>
      </c>
      <c r="E883">
        <f t="shared" si="40"/>
        <v>8.8817841970012523E-15</v>
      </c>
      <c r="F883">
        <f t="shared" si="41"/>
        <v>3.9968028886505635E-15</v>
      </c>
    </row>
    <row r="884" spans="2:6" x14ac:dyDescent="0.3">
      <c r="B884">
        <v>0.879</v>
      </c>
      <c r="C884">
        <v>2.1991750198929201</v>
      </c>
      <c r="D884">
        <f t="shared" si="39"/>
        <v>2.1991750198929201</v>
      </c>
      <c r="E884">
        <f t="shared" si="40"/>
        <v>0</v>
      </c>
      <c r="F884">
        <f t="shared" si="41"/>
        <v>0</v>
      </c>
    </row>
    <row r="885" spans="2:6" x14ac:dyDescent="0.3">
      <c r="B885">
        <v>0.88</v>
      </c>
      <c r="C885">
        <v>2.2026769670944302</v>
      </c>
      <c r="D885">
        <f t="shared" si="39"/>
        <v>2.2026769670944355</v>
      </c>
      <c r="E885">
        <f t="shared" si="40"/>
        <v>5.3290705182007514E-15</v>
      </c>
      <c r="F885">
        <f t="shared" si="41"/>
        <v>2.4424906541753444E-15</v>
      </c>
    </row>
    <row r="886" spans="2:6" x14ac:dyDescent="0.3">
      <c r="B886">
        <v>0.88100000000000001</v>
      </c>
      <c r="C886">
        <v>2.2062121298544302</v>
      </c>
      <c r="D886">
        <f t="shared" si="39"/>
        <v>2.2062121298544302</v>
      </c>
      <c r="E886">
        <f t="shared" si="40"/>
        <v>0</v>
      </c>
      <c r="F886">
        <f t="shared" si="41"/>
        <v>0</v>
      </c>
    </row>
    <row r="887" spans="2:6" x14ac:dyDescent="0.3">
      <c r="B887">
        <v>0.88200000000000001</v>
      </c>
      <c r="C887">
        <v>2.2097810784102001</v>
      </c>
      <c r="D887">
        <f t="shared" si="39"/>
        <v>2.2097810784102081</v>
      </c>
      <c r="E887">
        <f t="shared" si="40"/>
        <v>7.9936057773011271E-15</v>
      </c>
      <c r="F887">
        <f t="shared" si="41"/>
        <v>3.5527136788005009E-15</v>
      </c>
    </row>
    <row r="888" spans="2:6" x14ac:dyDescent="0.3">
      <c r="B888">
        <v>0.88300000000000001</v>
      </c>
      <c r="C888">
        <v>2.2133843976847301</v>
      </c>
      <c r="D888">
        <f t="shared" si="39"/>
        <v>2.2133843976847349</v>
      </c>
      <c r="E888">
        <f t="shared" si="40"/>
        <v>4.8849813083506888E-15</v>
      </c>
      <c r="F888">
        <f t="shared" si="41"/>
        <v>2.2204460492503131E-15</v>
      </c>
    </row>
    <row r="889" spans="2:6" x14ac:dyDescent="0.3">
      <c r="B889">
        <v>0.88400000000000001</v>
      </c>
      <c r="C889">
        <v>2.21702268779315</v>
      </c>
      <c r="D889">
        <f t="shared" si="39"/>
        <v>2.2170226877931563</v>
      </c>
      <c r="E889">
        <f t="shared" si="40"/>
        <v>6.2172489379008766E-15</v>
      </c>
      <c r="F889">
        <f t="shared" si="41"/>
        <v>2.886579864025407E-15</v>
      </c>
    </row>
    <row r="890" spans="2:6" x14ac:dyDescent="0.3">
      <c r="B890">
        <v>0.88500000000000001</v>
      </c>
      <c r="C890">
        <v>2.2206965645712899</v>
      </c>
      <c r="D890">
        <f t="shared" si="39"/>
        <v>2.2206965645712979</v>
      </c>
      <c r="E890">
        <f t="shared" si="40"/>
        <v>7.9936057773011271E-15</v>
      </c>
      <c r="F890">
        <f t="shared" si="41"/>
        <v>3.5527136788005009E-15</v>
      </c>
    </row>
    <row r="891" spans="2:6" x14ac:dyDescent="0.3">
      <c r="B891">
        <v>0.88600000000000001</v>
      </c>
      <c r="C891">
        <v>2.2244066601273098</v>
      </c>
      <c r="D891">
        <f t="shared" si="39"/>
        <v>2.2244066601273182</v>
      </c>
      <c r="E891">
        <f t="shared" si="40"/>
        <v>8.4376949871511897E-15</v>
      </c>
      <c r="F891">
        <f t="shared" si="41"/>
        <v>3.7747582837255322E-15</v>
      </c>
    </row>
    <row r="892" spans="2:6" x14ac:dyDescent="0.3">
      <c r="B892">
        <v>0.88700000000000001</v>
      </c>
      <c r="C892">
        <v>2.2281536234177199</v>
      </c>
      <c r="D892">
        <f t="shared" si="39"/>
        <v>2.2281536234177244</v>
      </c>
      <c r="E892">
        <f t="shared" si="40"/>
        <v>4.4408920985006262E-15</v>
      </c>
      <c r="F892">
        <f t="shared" si="41"/>
        <v>1.9984014443252818E-15</v>
      </c>
    </row>
    <row r="893" spans="2:6" x14ac:dyDescent="0.3">
      <c r="B893">
        <v>0.88800000000000001</v>
      </c>
      <c r="C893">
        <v>2.2319381208490601</v>
      </c>
      <c r="D893">
        <f t="shared" si="39"/>
        <v>2.2319381208490618</v>
      </c>
      <c r="E893">
        <f t="shared" si="40"/>
        <v>0</v>
      </c>
      <c r="F893">
        <f t="shared" si="41"/>
        <v>0</v>
      </c>
    </row>
    <row r="894" spans="2:6" x14ac:dyDescent="0.3">
      <c r="B894">
        <v>0.88900000000000001</v>
      </c>
      <c r="C894">
        <v>2.2357608369066599</v>
      </c>
      <c r="D894">
        <f t="shared" si="39"/>
        <v>2.2357608369066599</v>
      </c>
      <c r="E894">
        <f t="shared" si="40"/>
        <v>0</v>
      </c>
      <c r="F894">
        <f t="shared" si="41"/>
        <v>0</v>
      </c>
    </row>
    <row r="895" spans="2:6" x14ac:dyDescent="0.3">
      <c r="B895">
        <v>0.89</v>
      </c>
      <c r="C895">
        <v>2.2396224748118998</v>
      </c>
      <c r="D895">
        <f t="shared" si="39"/>
        <v>2.2396224748119056</v>
      </c>
      <c r="E895">
        <f t="shared" si="40"/>
        <v>5.773159728050814E-15</v>
      </c>
      <c r="F895">
        <f t="shared" si="41"/>
        <v>2.6645352591003757E-15</v>
      </c>
    </row>
    <row r="896" spans="2:6" x14ac:dyDescent="0.3">
      <c r="B896">
        <v>0.89100000000000001</v>
      </c>
      <c r="C896">
        <v>2.2435237572096001</v>
      </c>
      <c r="D896">
        <f t="shared" si="39"/>
        <v>2.2435237572096098</v>
      </c>
      <c r="E896">
        <f t="shared" si="40"/>
        <v>9.7699626167013776E-15</v>
      </c>
      <c r="F896">
        <f t="shared" si="41"/>
        <v>4.4408920985006262E-15</v>
      </c>
    </row>
    <row r="897" spans="2:6" x14ac:dyDescent="0.3">
      <c r="B897">
        <v>0.89200000000000002</v>
      </c>
      <c r="C897">
        <v>2.2474654268871301</v>
      </c>
      <c r="D897">
        <f t="shared" si="39"/>
        <v>2.247465426887135</v>
      </c>
      <c r="E897">
        <f t="shared" si="40"/>
        <v>4.8849813083506888E-15</v>
      </c>
      <c r="F897">
        <f t="shared" si="41"/>
        <v>2.2204460492503131E-15</v>
      </c>
    </row>
    <row r="898" spans="2:6" x14ac:dyDescent="0.3">
      <c r="B898">
        <v>0.89300000000000002</v>
      </c>
      <c r="C898">
        <v>2.2514482475270601</v>
      </c>
      <c r="D898">
        <f t="shared" si="39"/>
        <v>2.2514482475270632</v>
      </c>
      <c r="E898">
        <f t="shared" si="40"/>
        <v>0</v>
      </c>
      <c r="F898">
        <f t="shared" si="41"/>
        <v>0</v>
      </c>
    </row>
    <row r="899" spans="2:6" x14ac:dyDescent="0.3">
      <c r="B899">
        <v>0.89400000000000002</v>
      </c>
      <c r="C899">
        <v>2.25547300449528</v>
      </c>
      <c r="D899">
        <f t="shared" si="39"/>
        <v>2.2554730044952853</v>
      </c>
      <c r="E899">
        <f t="shared" si="40"/>
        <v>5.3290705182007514E-15</v>
      </c>
      <c r="F899">
        <f t="shared" si="41"/>
        <v>2.4424906541753444E-15</v>
      </c>
    </row>
    <row r="900" spans="2:6" x14ac:dyDescent="0.3">
      <c r="B900">
        <v>0.89500000000000002</v>
      </c>
      <c r="C900">
        <v>2.2595405056665498</v>
      </c>
      <c r="D900">
        <f t="shared" si="39"/>
        <v>2.2595405056665498</v>
      </c>
      <c r="E900">
        <f t="shared" si="40"/>
        <v>0</v>
      </c>
      <c r="F900">
        <f t="shared" si="41"/>
        <v>0</v>
      </c>
    </row>
    <row r="901" spans="2:6" x14ac:dyDescent="0.3">
      <c r="B901">
        <v>0.89600000000000002</v>
      </c>
      <c r="C901">
        <v>2.2636515822896</v>
      </c>
      <c r="D901">
        <f t="shared" si="39"/>
        <v>2.2636515822896071</v>
      </c>
      <c r="E901">
        <f t="shared" si="40"/>
        <v>7.1054273576010019E-15</v>
      </c>
      <c r="F901">
        <f t="shared" si="41"/>
        <v>3.1086244689504383E-15</v>
      </c>
    </row>
    <row r="902" spans="2:6" x14ac:dyDescent="0.3">
      <c r="B902">
        <v>0.89700000000000002</v>
      </c>
      <c r="C902">
        <v>2.2678070898942502</v>
      </c>
      <c r="D902">
        <f t="shared" ref="D902:D965" si="42">completeElliptic1($B902*$B902)</f>
        <v>2.2678070898942551</v>
      </c>
      <c r="E902">
        <f t="shared" ref="E902:E965" si="43">$D902-$C902</f>
        <v>4.8849813083506888E-15</v>
      </c>
      <c r="F902">
        <f t="shared" ref="F902:F965" si="44">$D902/$C902-1</f>
        <v>2.2204460492503131E-15</v>
      </c>
    </row>
    <row r="903" spans="2:6" x14ac:dyDescent="0.3">
      <c r="B903">
        <v>0.89800000000000002</v>
      </c>
      <c r="C903">
        <v>2.2720079092427499</v>
      </c>
      <c r="D903">
        <f t="shared" si="42"/>
        <v>2.2720079092427521</v>
      </c>
      <c r="E903">
        <f t="shared" si="43"/>
        <v>0</v>
      </c>
      <c r="F903">
        <f t="shared" si="44"/>
        <v>0</v>
      </c>
    </row>
    <row r="904" spans="2:6" x14ac:dyDescent="0.3">
      <c r="B904">
        <v>0.89900000000000002</v>
      </c>
      <c r="C904">
        <v>2.2762549473282001</v>
      </c>
      <c r="D904">
        <f t="shared" si="42"/>
        <v>2.2762549473282063</v>
      </c>
      <c r="E904">
        <f t="shared" si="43"/>
        <v>6.2172489379008766E-15</v>
      </c>
      <c r="F904">
        <f t="shared" si="44"/>
        <v>2.6645352591003757E-15</v>
      </c>
    </row>
    <row r="905" spans="2:6" x14ac:dyDescent="0.3">
      <c r="B905">
        <v>0.9</v>
      </c>
      <c r="C905">
        <v>2.2805491384227699</v>
      </c>
      <c r="D905">
        <f t="shared" si="42"/>
        <v>2.2805491384227703</v>
      </c>
      <c r="E905">
        <f t="shared" si="43"/>
        <v>0</v>
      </c>
      <c r="F905">
        <f t="shared" si="44"/>
        <v>0</v>
      </c>
    </row>
    <row r="906" spans="2:6" x14ac:dyDescent="0.3">
      <c r="B906">
        <v>0.90100000000000002</v>
      </c>
      <c r="C906">
        <v>2.28489144517863</v>
      </c>
      <c r="D906">
        <f t="shared" si="42"/>
        <v>2.2848914451786349</v>
      </c>
      <c r="E906">
        <f t="shared" si="43"/>
        <v>4.8849813083506888E-15</v>
      </c>
      <c r="F906">
        <f t="shared" si="44"/>
        <v>2.2204460492503131E-15</v>
      </c>
    </row>
    <row r="907" spans="2:6" x14ac:dyDescent="0.3">
      <c r="B907">
        <v>0.90200000000000002</v>
      </c>
      <c r="C907">
        <v>2.2892828597850499</v>
      </c>
      <c r="D907">
        <f t="shared" si="42"/>
        <v>2.2892828597850512</v>
      </c>
      <c r="E907">
        <f t="shared" si="43"/>
        <v>0</v>
      </c>
      <c r="F907">
        <f t="shared" si="44"/>
        <v>0</v>
      </c>
    </row>
    <row r="908" spans="2:6" x14ac:dyDescent="0.3">
      <c r="B908">
        <v>0.90300000000000002</v>
      </c>
      <c r="C908">
        <v>2.2937244051848298</v>
      </c>
      <c r="D908">
        <f t="shared" si="42"/>
        <v>2.2937244051848338</v>
      </c>
      <c r="E908">
        <f t="shared" si="43"/>
        <v>3.9968028886505635E-15</v>
      </c>
      <c r="F908">
        <f t="shared" si="44"/>
        <v>1.7763568394002505E-15</v>
      </c>
    </row>
    <row r="909" spans="2:6" x14ac:dyDescent="0.3">
      <c r="B909">
        <v>0.90400000000000003</v>
      </c>
      <c r="C909">
        <v>2.2982171363540398</v>
      </c>
      <c r="D909">
        <f t="shared" si="42"/>
        <v>2.2982171363540451</v>
      </c>
      <c r="E909">
        <f t="shared" si="43"/>
        <v>5.3290705182007514E-15</v>
      </c>
      <c r="F909">
        <f t="shared" si="44"/>
        <v>2.2204460492503131E-15</v>
      </c>
    </row>
    <row r="910" spans="2:6" x14ac:dyDescent="0.3">
      <c r="B910">
        <v>0.90500000000000003</v>
      </c>
      <c r="C910">
        <v>2.3027621416488402</v>
      </c>
      <c r="D910">
        <f t="shared" si="42"/>
        <v>2.3027621416488464</v>
      </c>
      <c r="E910">
        <f t="shared" si="43"/>
        <v>6.2172489379008766E-15</v>
      </c>
      <c r="F910">
        <f t="shared" si="44"/>
        <v>2.6645352591003757E-15</v>
      </c>
    </row>
    <row r="911" spans="2:6" x14ac:dyDescent="0.3">
      <c r="B911">
        <v>0.90600000000000003</v>
      </c>
      <c r="C911">
        <v>2.3073605442237701</v>
      </c>
      <c r="D911">
        <f t="shared" si="42"/>
        <v>2.3073605442237763</v>
      </c>
      <c r="E911">
        <f t="shared" si="43"/>
        <v>6.2172489379008766E-15</v>
      </c>
      <c r="F911">
        <f t="shared" si="44"/>
        <v>2.6645352591003757E-15</v>
      </c>
    </row>
    <row r="912" spans="2:6" x14ac:dyDescent="0.3">
      <c r="B912">
        <v>0.90700000000000003</v>
      </c>
      <c r="C912">
        <v>2.3120135035260501</v>
      </c>
      <c r="D912">
        <f t="shared" si="42"/>
        <v>2.3120135035260554</v>
      </c>
      <c r="E912">
        <f t="shared" si="43"/>
        <v>5.3290705182007514E-15</v>
      </c>
      <c r="F912">
        <f t="shared" si="44"/>
        <v>2.2204460492503131E-15</v>
      </c>
    </row>
    <row r="913" spans="2:6" x14ac:dyDescent="0.3">
      <c r="B913">
        <v>0.90800000000000003</v>
      </c>
      <c r="C913">
        <v>2.3167222168708501</v>
      </c>
      <c r="D913">
        <f t="shared" si="42"/>
        <v>2.3167222168708519</v>
      </c>
      <c r="E913">
        <f t="shared" si="43"/>
        <v>0</v>
      </c>
      <c r="F913">
        <f t="shared" si="44"/>
        <v>0</v>
      </c>
    </row>
    <row r="914" spans="2:6" x14ac:dyDescent="0.3">
      <c r="B914">
        <v>0.90900000000000003</v>
      </c>
      <c r="C914">
        <v>2.3214879211028299</v>
      </c>
      <c r="D914">
        <f t="shared" si="42"/>
        <v>2.3214879211028339</v>
      </c>
      <c r="E914">
        <f t="shared" si="43"/>
        <v>3.9968028886505635E-15</v>
      </c>
      <c r="F914">
        <f t="shared" si="44"/>
        <v>1.7763568394002505E-15</v>
      </c>
    </row>
    <row r="915" spans="2:6" x14ac:dyDescent="0.3">
      <c r="B915">
        <v>0.91</v>
      </c>
      <c r="C915">
        <v>2.3263118943497201</v>
      </c>
      <c r="D915">
        <f t="shared" si="42"/>
        <v>2.3263118943497219</v>
      </c>
      <c r="E915">
        <f t="shared" si="43"/>
        <v>0</v>
      </c>
      <c r="F915">
        <f t="shared" si="44"/>
        <v>0</v>
      </c>
    </row>
    <row r="916" spans="2:6" x14ac:dyDescent="0.3">
      <c r="B916">
        <v>0.91100000000000003</v>
      </c>
      <c r="C916">
        <v>2.3311954578740299</v>
      </c>
      <c r="D916">
        <f t="shared" si="42"/>
        <v>2.3311954578740393</v>
      </c>
      <c r="E916">
        <f t="shared" si="43"/>
        <v>9.3258734068513149E-15</v>
      </c>
      <c r="F916">
        <f t="shared" si="44"/>
        <v>3.9968028886505635E-15</v>
      </c>
    </row>
    <row r="917" spans="2:6" x14ac:dyDescent="0.3">
      <c r="B917">
        <v>0.91200000000000003</v>
      </c>
      <c r="C917">
        <v>2.3361399780297099</v>
      </c>
      <c r="D917">
        <f t="shared" si="42"/>
        <v>2.3361399780297134</v>
      </c>
      <c r="E917">
        <f t="shared" si="43"/>
        <v>3.5527136788005009E-15</v>
      </c>
      <c r="F917">
        <f t="shared" si="44"/>
        <v>0</v>
      </c>
    </row>
    <row r="918" spans="2:6" x14ac:dyDescent="0.3">
      <c r="B918">
        <v>0.91300000000000003</v>
      </c>
      <c r="C918">
        <v>2.3411468683307302</v>
      </c>
      <c r="D918">
        <f t="shared" si="42"/>
        <v>2.3411468683307346</v>
      </c>
      <c r="E918">
        <f t="shared" si="43"/>
        <v>4.4408920985006262E-15</v>
      </c>
      <c r="F918">
        <f t="shared" si="44"/>
        <v>1.9984014443252818E-15</v>
      </c>
    </row>
    <row r="919" spans="2:6" x14ac:dyDescent="0.3">
      <c r="B919">
        <v>0.91400000000000003</v>
      </c>
      <c r="C919">
        <v>2.3462175916396499</v>
      </c>
      <c r="D919">
        <f t="shared" si="42"/>
        <v>2.3462175916396566</v>
      </c>
      <c r="E919">
        <f t="shared" si="43"/>
        <v>6.6613381477509392E-15</v>
      </c>
      <c r="F919">
        <f t="shared" si="44"/>
        <v>2.886579864025407E-15</v>
      </c>
    </row>
    <row r="920" spans="2:6" x14ac:dyDescent="0.3">
      <c r="B920">
        <v>0.91500000000000004</v>
      </c>
      <c r="C920">
        <v>2.3513536624843598</v>
      </c>
      <c r="D920">
        <f t="shared" si="42"/>
        <v>2.3513536624843647</v>
      </c>
      <c r="E920">
        <f t="shared" si="43"/>
        <v>4.8849813083506888E-15</v>
      </c>
      <c r="F920">
        <f t="shared" si="44"/>
        <v>1.9984014443252818E-15</v>
      </c>
    </row>
    <row r="921" spans="2:6" x14ac:dyDescent="0.3">
      <c r="B921">
        <v>0.91600000000000004</v>
      </c>
      <c r="C921">
        <v>2.3565566495122199</v>
      </c>
      <c r="D921">
        <f t="shared" si="42"/>
        <v>2.3565566495122252</v>
      </c>
      <c r="E921">
        <f t="shared" si="43"/>
        <v>5.3290705182007514E-15</v>
      </c>
      <c r="F921">
        <f t="shared" si="44"/>
        <v>2.2204460492503131E-15</v>
      </c>
    </row>
    <row r="922" spans="2:6" x14ac:dyDescent="0.3">
      <c r="B922">
        <v>0.91700000000000004</v>
      </c>
      <c r="C922">
        <v>2.36182817809151</v>
      </c>
      <c r="D922">
        <f t="shared" si="42"/>
        <v>2.3618281780915114</v>
      </c>
      <c r="E922">
        <f t="shared" si="43"/>
        <v>0</v>
      </c>
      <c r="F922">
        <f t="shared" si="44"/>
        <v>0</v>
      </c>
    </row>
    <row r="923" spans="2:6" x14ac:dyDescent="0.3">
      <c r="B923">
        <v>0.91800000000000004</v>
      </c>
      <c r="C923">
        <v>2.3671699330708198</v>
      </c>
      <c r="D923">
        <f t="shared" si="42"/>
        <v>2.3671699330708282</v>
      </c>
      <c r="E923">
        <f t="shared" si="43"/>
        <v>8.4376949871511897E-15</v>
      </c>
      <c r="F923">
        <f t="shared" si="44"/>
        <v>3.5527136788005009E-15</v>
      </c>
    </row>
    <row r="924" spans="2:6" x14ac:dyDescent="0.3">
      <c r="B924">
        <v>0.91900000000000004</v>
      </c>
      <c r="C924">
        <v>2.3725836617081799</v>
      </c>
      <c r="D924">
        <f t="shared" si="42"/>
        <v>2.3725836617081888</v>
      </c>
      <c r="E924">
        <f t="shared" si="43"/>
        <v>8.8817841970012523E-15</v>
      </c>
      <c r="F924">
        <f t="shared" si="44"/>
        <v>3.7747582837255322E-15</v>
      </c>
    </row>
    <row r="925" spans="2:6" x14ac:dyDescent="0.3">
      <c r="B925">
        <v>0.92</v>
      </c>
      <c r="C925">
        <v>2.3780711767823899</v>
      </c>
      <c r="D925">
        <f t="shared" si="42"/>
        <v>2.3780711767823957</v>
      </c>
      <c r="E925">
        <f t="shared" si="43"/>
        <v>5.773159728050814E-15</v>
      </c>
      <c r="F925">
        <f t="shared" si="44"/>
        <v>2.4424906541753444E-15</v>
      </c>
    </row>
    <row r="926" spans="2:6" x14ac:dyDescent="0.3">
      <c r="B926">
        <v>0.92100000000000004</v>
      </c>
      <c r="C926">
        <v>2.3836343599005199</v>
      </c>
      <c r="D926">
        <f t="shared" si="42"/>
        <v>2.3836343599005247</v>
      </c>
      <c r="E926">
        <f t="shared" si="43"/>
        <v>4.8849813083506888E-15</v>
      </c>
      <c r="F926">
        <f t="shared" si="44"/>
        <v>1.9984014443252818E-15</v>
      </c>
    </row>
    <row r="927" spans="2:6" x14ac:dyDescent="0.3">
      <c r="B927">
        <v>0.92200000000000004</v>
      </c>
      <c r="C927">
        <v>2.3892751650165001</v>
      </c>
      <c r="D927">
        <f t="shared" si="42"/>
        <v>2.3892751650165027</v>
      </c>
      <c r="E927">
        <f t="shared" si="43"/>
        <v>0</v>
      </c>
      <c r="F927">
        <f t="shared" si="44"/>
        <v>0</v>
      </c>
    </row>
    <row r="928" spans="2:6" x14ac:dyDescent="0.3">
      <c r="B928">
        <v>0.92300000000000004</v>
      </c>
      <c r="C928">
        <v>2.39499562217715</v>
      </c>
      <c r="D928">
        <f t="shared" si="42"/>
        <v>2.3949956221771531</v>
      </c>
      <c r="E928">
        <f t="shared" si="43"/>
        <v>0</v>
      </c>
      <c r="F928">
        <f t="shared" si="44"/>
        <v>0</v>
      </c>
    </row>
    <row r="929" spans="2:6" x14ac:dyDescent="0.3">
      <c r="B929">
        <v>0.92400000000000004</v>
      </c>
      <c r="C929">
        <v>2.40079784151358</v>
      </c>
      <c r="D929">
        <f t="shared" si="42"/>
        <v>2.4007978415135809</v>
      </c>
      <c r="E929">
        <f t="shared" si="43"/>
        <v>0</v>
      </c>
      <c r="F929">
        <f t="shared" si="44"/>
        <v>0</v>
      </c>
    </row>
    <row r="930" spans="2:6" x14ac:dyDescent="0.3">
      <c r="B930">
        <v>0.92500000000000004</v>
      </c>
      <c r="C930">
        <v>2.40668401749741</v>
      </c>
      <c r="D930">
        <f t="shared" si="42"/>
        <v>2.4066840174974122</v>
      </c>
      <c r="E930">
        <f t="shared" si="43"/>
        <v>0</v>
      </c>
      <c r="F930">
        <f t="shared" si="44"/>
        <v>0</v>
      </c>
    </row>
    <row r="931" spans="2:6" x14ac:dyDescent="0.3">
      <c r="B931">
        <v>0.92600000000000005</v>
      </c>
      <c r="C931">
        <v>2.4126564334832499</v>
      </c>
      <c r="D931">
        <f t="shared" si="42"/>
        <v>2.4126564334832521</v>
      </c>
      <c r="E931">
        <f t="shared" si="43"/>
        <v>0</v>
      </c>
      <c r="F931">
        <f t="shared" si="44"/>
        <v>0</v>
      </c>
    </row>
    <row r="932" spans="2:6" x14ac:dyDescent="0.3">
      <c r="B932">
        <v>0.92700000000000005</v>
      </c>
      <c r="C932">
        <v>2.41871746656075</v>
      </c>
      <c r="D932">
        <f t="shared" si="42"/>
        <v>2.4187174665607598</v>
      </c>
      <c r="E932">
        <f t="shared" si="43"/>
        <v>9.7699626167013776E-15</v>
      </c>
      <c r="F932">
        <f t="shared" si="44"/>
        <v>3.9968028886505635E-15</v>
      </c>
    </row>
    <row r="933" spans="2:6" x14ac:dyDescent="0.3">
      <c r="B933">
        <v>0.92800000000000005</v>
      </c>
      <c r="C933">
        <v>2.4248695927419899</v>
      </c>
      <c r="D933">
        <f t="shared" si="42"/>
        <v>2.4248695927419996</v>
      </c>
      <c r="E933">
        <f t="shared" si="43"/>
        <v>9.7699626167013776E-15</v>
      </c>
      <c r="F933">
        <f t="shared" si="44"/>
        <v>3.9968028886505635E-15</v>
      </c>
    </row>
    <row r="934" spans="2:6" x14ac:dyDescent="0.3">
      <c r="B934">
        <v>0.92900000000000005</v>
      </c>
      <c r="C934">
        <v>2.43111539251223</v>
      </c>
      <c r="D934">
        <f t="shared" si="42"/>
        <v>2.4311153925122349</v>
      </c>
      <c r="E934">
        <f t="shared" si="43"/>
        <v>4.8849813083506888E-15</v>
      </c>
      <c r="F934">
        <f t="shared" si="44"/>
        <v>1.9984014443252818E-15</v>
      </c>
    </row>
    <row r="935" spans="2:6" x14ac:dyDescent="0.3">
      <c r="B935">
        <v>0.93</v>
      </c>
      <c r="C935">
        <v>2.43745755677514</v>
      </c>
      <c r="D935">
        <f t="shared" si="42"/>
        <v>2.4374575567751466</v>
      </c>
      <c r="E935">
        <f t="shared" si="43"/>
        <v>6.6613381477509392E-15</v>
      </c>
      <c r="F935">
        <f t="shared" si="44"/>
        <v>2.6645352591003757E-15</v>
      </c>
    </row>
    <row r="936" spans="2:6" x14ac:dyDescent="0.3">
      <c r="B936">
        <v>0.93100000000000005</v>
      </c>
      <c r="C936">
        <v>2.4438988932265602</v>
      </c>
      <c r="D936">
        <f t="shared" si="42"/>
        <v>2.4438988932265664</v>
      </c>
      <c r="E936">
        <f t="shared" si="43"/>
        <v>6.2172489379008766E-15</v>
      </c>
      <c r="F936">
        <f t="shared" si="44"/>
        <v>2.4424906541753444E-15</v>
      </c>
    </row>
    <row r="937" spans="2:6" x14ac:dyDescent="0.3">
      <c r="B937">
        <v>0.93200000000000005</v>
      </c>
      <c r="C937">
        <v>2.4504423331942999</v>
      </c>
      <c r="D937">
        <f t="shared" si="42"/>
        <v>2.4504423331943097</v>
      </c>
      <c r="E937">
        <f t="shared" si="43"/>
        <v>9.7699626167013776E-15</v>
      </c>
      <c r="F937">
        <f t="shared" si="44"/>
        <v>3.9968028886505635E-15</v>
      </c>
    </row>
    <row r="938" spans="2:6" x14ac:dyDescent="0.3">
      <c r="B938">
        <v>0.93300000000000005</v>
      </c>
      <c r="C938">
        <v>2.4570909389855902</v>
      </c>
      <c r="D938">
        <f t="shared" si="42"/>
        <v>2.4570909389855973</v>
      </c>
      <c r="E938">
        <f t="shared" si="43"/>
        <v>7.1054273576010019E-15</v>
      </c>
      <c r="F938">
        <f t="shared" si="44"/>
        <v>2.886579864025407E-15</v>
      </c>
    </row>
    <row r="939" spans="2:6" x14ac:dyDescent="0.3">
      <c r="B939">
        <v>0.93400000000000005</v>
      </c>
      <c r="C939">
        <v>2.46384791178791</v>
      </c>
      <c r="D939">
        <f t="shared" si="42"/>
        <v>2.4638479117879144</v>
      </c>
      <c r="E939">
        <f t="shared" si="43"/>
        <v>4.4408920985006262E-15</v>
      </c>
      <c r="F939">
        <f t="shared" si="44"/>
        <v>1.7763568394002505E-15</v>
      </c>
    </row>
    <row r="940" spans="2:6" x14ac:dyDescent="0.3">
      <c r="B940">
        <v>0.93500000000000005</v>
      </c>
      <c r="C940">
        <v>2.4707166001740699</v>
      </c>
      <c r="D940">
        <f t="shared" si="42"/>
        <v>2.4707166001740775</v>
      </c>
      <c r="E940">
        <f t="shared" si="43"/>
        <v>7.5495165674510645E-15</v>
      </c>
      <c r="F940">
        <f t="shared" si="44"/>
        <v>3.1086244689504383E-15</v>
      </c>
    </row>
    <row r="941" spans="2:6" x14ac:dyDescent="0.3">
      <c r="B941">
        <v>0.93600000000000005</v>
      </c>
      <c r="C941">
        <v>2.47770050926778</v>
      </c>
      <c r="D941">
        <f t="shared" si="42"/>
        <v>2.4777005092677808</v>
      </c>
      <c r="E941">
        <f t="shared" si="43"/>
        <v>0</v>
      </c>
      <c r="F941">
        <f t="shared" si="44"/>
        <v>0</v>
      </c>
    </row>
    <row r="942" spans="2:6" x14ac:dyDescent="0.3">
      <c r="B942">
        <v>0.93700000000000006</v>
      </c>
      <c r="C942">
        <v>2.4848033106320999</v>
      </c>
      <c r="D942">
        <f t="shared" si="42"/>
        <v>2.484803310632107</v>
      </c>
      <c r="E942">
        <f t="shared" si="43"/>
        <v>7.1054273576010019E-15</v>
      </c>
      <c r="F942">
        <f t="shared" si="44"/>
        <v>2.886579864025407E-15</v>
      </c>
    </row>
    <row r="943" spans="2:6" x14ac:dyDescent="0.3">
      <c r="B943">
        <v>0.93799999999999994</v>
      </c>
      <c r="C943">
        <v>2.4920288529504999</v>
      </c>
      <c r="D943">
        <f t="shared" si="42"/>
        <v>2.4920288529504995</v>
      </c>
      <c r="E943">
        <f t="shared" si="43"/>
        <v>0</v>
      </c>
      <c r="F943">
        <f t="shared" si="44"/>
        <v>0</v>
      </c>
    </row>
    <row r="944" spans="2:6" x14ac:dyDescent="0.3">
      <c r="B944">
        <v>0.93899999999999995</v>
      </c>
      <c r="C944">
        <v>2.4993811735775999</v>
      </c>
      <c r="D944">
        <f t="shared" si="42"/>
        <v>2.4993811735776017</v>
      </c>
      <c r="E944">
        <f t="shared" si="43"/>
        <v>0</v>
      </c>
      <c r="F944">
        <f t="shared" si="44"/>
        <v>0</v>
      </c>
    </row>
    <row r="945" spans="2:6" x14ac:dyDescent="0.3">
      <c r="B945">
        <v>0.94</v>
      </c>
      <c r="C945">
        <v>2.5068645110463299</v>
      </c>
      <c r="D945">
        <f t="shared" si="42"/>
        <v>2.5068645110463321</v>
      </c>
      <c r="E945">
        <f t="shared" si="43"/>
        <v>0</v>
      </c>
      <c r="F945">
        <f t="shared" si="44"/>
        <v>0</v>
      </c>
    </row>
    <row r="946" spans="2:6" x14ac:dyDescent="0.3">
      <c r="B946">
        <v>0.94099999999999995</v>
      </c>
      <c r="C946">
        <v>2.51448331862774</v>
      </c>
      <c r="D946">
        <f t="shared" si="42"/>
        <v>2.5144833186277489</v>
      </c>
      <c r="E946">
        <f t="shared" si="43"/>
        <v>8.8817841970012523E-15</v>
      </c>
      <c r="F946">
        <f t="shared" si="44"/>
        <v>3.5527136788005009E-15</v>
      </c>
    </row>
    <row r="947" spans="2:6" x14ac:dyDescent="0.3">
      <c r="B947">
        <v>0.94199999999999995</v>
      </c>
      <c r="C947">
        <v>2.5222422790518002</v>
      </c>
      <c r="D947">
        <f t="shared" si="42"/>
        <v>2.5222422790518086</v>
      </c>
      <c r="E947">
        <f t="shared" si="43"/>
        <v>8.4376949871511897E-15</v>
      </c>
      <c r="F947">
        <f t="shared" si="44"/>
        <v>3.3306690738754696E-15</v>
      </c>
    </row>
    <row r="948" spans="2:6" x14ac:dyDescent="0.3">
      <c r="B948">
        <v>0.94299999999999995</v>
      </c>
      <c r="C948">
        <v>2.5301463205102901</v>
      </c>
      <c r="D948">
        <f t="shared" si="42"/>
        <v>2.530146320510295</v>
      </c>
      <c r="E948">
        <f t="shared" si="43"/>
        <v>4.8849813083506888E-15</v>
      </c>
      <c r="F948">
        <f t="shared" si="44"/>
        <v>1.9984014443252818E-15</v>
      </c>
    </row>
    <row r="949" spans="2:6" x14ac:dyDescent="0.3">
      <c r="B949">
        <v>0.94399999999999995</v>
      </c>
      <c r="C949">
        <v>2.5382006340782399</v>
      </c>
      <c r="D949">
        <f t="shared" si="42"/>
        <v>2.5382006340782493</v>
      </c>
      <c r="E949">
        <f t="shared" si="43"/>
        <v>9.3258734068513149E-15</v>
      </c>
      <c r="F949">
        <f t="shared" si="44"/>
        <v>3.7747582837255322E-15</v>
      </c>
    </row>
    <row r="950" spans="2:6" x14ac:dyDescent="0.3">
      <c r="B950">
        <v>0.94499999999999995</v>
      </c>
      <c r="C950">
        <v>2.5464106927074202</v>
      </c>
      <c r="D950">
        <f t="shared" si="42"/>
        <v>2.5464106927074273</v>
      </c>
      <c r="E950">
        <f t="shared" si="43"/>
        <v>7.1054273576010019E-15</v>
      </c>
      <c r="F950">
        <f t="shared" si="44"/>
        <v>2.886579864025407E-15</v>
      </c>
    </row>
    <row r="951" spans="2:6" x14ac:dyDescent="0.3">
      <c r="B951">
        <v>0.94599999999999995</v>
      </c>
      <c r="C951">
        <v>2.5547822719650499</v>
      </c>
      <c r="D951">
        <f t="shared" si="42"/>
        <v>2.5547822719650508</v>
      </c>
      <c r="E951">
        <f t="shared" si="43"/>
        <v>0</v>
      </c>
      <c r="F951">
        <f t="shared" si="44"/>
        <v>0</v>
      </c>
    </row>
    <row r="952" spans="2:6" x14ac:dyDescent="0.3">
      <c r="B952">
        <v>0.94699999999999995</v>
      </c>
      <c r="C952">
        <v>2.5633214727138198</v>
      </c>
      <c r="D952">
        <f t="shared" si="42"/>
        <v>2.5633214727138203</v>
      </c>
      <c r="E952">
        <f t="shared" si="43"/>
        <v>0</v>
      </c>
      <c r="F952">
        <f t="shared" si="44"/>
        <v>0</v>
      </c>
    </row>
    <row r="953" spans="2:6" x14ac:dyDescent="0.3">
      <c r="B953">
        <v>0.94799999999999995</v>
      </c>
      <c r="C953">
        <v>2.5720347459553001</v>
      </c>
      <c r="D953">
        <f t="shared" si="42"/>
        <v>2.5720347459553001</v>
      </c>
      <c r="E953">
        <f t="shared" si="43"/>
        <v>0</v>
      </c>
      <c r="F953">
        <f t="shared" si="44"/>
        <v>0</v>
      </c>
    </row>
    <row r="954" spans="2:6" x14ac:dyDescent="0.3">
      <c r="B954">
        <v>0.94899999999999995</v>
      </c>
      <c r="C954">
        <v>2.58092892008899</v>
      </c>
      <c r="D954">
        <f t="shared" si="42"/>
        <v>2.5809289200889989</v>
      </c>
      <c r="E954">
        <f t="shared" si="43"/>
        <v>8.8817841970012523E-15</v>
      </c>
      <c r="F954">
        <f t="shared" si="44"/>
        <v>3.3306690738754696E-15</v>
      </c>
    </row>
    <row r="955" spans="2:6" x14ac:dyDescent="0.3">
      <c r="B955">
        <v>0.95</v>
      </c>
      <c r="C955">
        <v>2.5900112308745</v>
      </c>
      <c r="D955">
        <f t="shared" si="42"/>
        <v>2.5900112308745009</v>
      </c>
      <c r="E955">
        <f t="shared" si="43"/>
        <v>0</v>
      </c>
      <c r="F955">
        <f t="shared" si="44"/>
        <v>0</v>
      </c>
    </row>
    <row r="956" spans="2:6" x14ac:dyDescent="0.3">
      <c r="B956">
        <v>0.95099999999999996</v>
      </c>
      <c r="C956">
        <v>2.59928935442464</v>
      </c>
      <c r="D956">
        <f t="shared" si="42"/>
        <v>2.5992893544246427</v>
      </c>
      <c r="E956">
        <f t="shared" si="43"/>
        <v>0</v>
      </c>
      <c r="F956">
        <f t="shared" si="44"/>
        <v>0</v>
      </c>
    </row>
    <row r="957" spans="2:6" x14ac:dyDescent="0.3">
      <c r="B957">
        <v>0.95199999999999996</v>
      </c>
      <c r="C957">
        <v>2.6087714436051401</v>
      </c>
      <c r="D957">
        <f t="shared" si="42"/>
        <v>2.6087714436051432</v>
      </c>
      <c r="E957">
        <f t="shared" si="43"/>
        <v>0</v>
      </c>
      <c r="F957">
        <f t="shared" si="44"/>
        <v>0</v>
      </c>
    </row>
    <row r="958" spans="2:6" x14ac:dyDescent="0.3">
      <c r="B958">
        <v>0.95299999999999996</v>
      </c>
      <c r="C958">
        <v>2.6184661682714401</v>
      </c>
      <c r="D958">
        <f t="shared" si="42"/>
        <v>2.6184661682714441</v>
      </c>
      <c r="E958">
        <f t="shared" si="43"/>
        <v>3.9968028886505635E-15</v>
      </c>
      <c r="F958">
        <f t="shared" si="44"/>
        <v>0</v>
      </c>
    </row>
    <row r="959" spans="2:6" x14ac:dyDescent="0.3">
      <c r="B959">
        <v>0.95399999999999996</v>
      </c>
      <c r="C959">
        <v>2.6283827598384399</v>
      </c>
      <c r="D959">
        <f t="shared" si="42"/>
        <v>2.6283827598384422</v>
      </c>
      <c r="E959">
        <f t="shared" si="43"/>
        <v>0</v>
      </c>
      <c r="F959">
        <f t="shared" si="44"/>
        <v>0</v>
      </c>
    </row>
    <row r="960" spans="2:6" x14ac:dyDescent="0.3">
      <c r="B960">
        <v>0.95499999999999996</v>
      </c>
      <c r="C960">
        <v>2.6385310607551</v>
      </c>
      <c r="D960">
        <f t="shared" si="42"/>
        <v>2.6385310607551085</v>
      </c>
      <c r="E960">
        <f t="shared" si="43"/>
        <v>8.4376949871511897E-15</v>
      </c>
      <c r="F960">
        <f t="shared" si="44"/>
        <v>3.1086244689504383E-15</v>
      </c>
    </row>
    <row r="961" spans="2:6" x14ac:dyDescent="0.3">
      <c r="B961">
        <v>0.95599999999999996</v>
      </c>
      <c r="C961">
        <v>2.6489215795460601</v>
      </c>
      <c r="D961">
        <f t="shared" si="42"/>
        <v>2.6489215795460619</v>
      </c>
      <c r="E961">
        <f t="shared" si="43"/>
        <v>0</v>
      </c>
      <c r="F961">
        <f t="shared" si="44"/>
        <v>0</v>
      </c>
    </row>
    <row r="962" spans="2:6" x14ac:dyDescent="0.3">
      <c r="B962">
        <v>0.95699999999999996</v>
      </c>
      <c r="C962">
        <v>2.6595655521887802</v>
      </c>
      <c r="D962">
        <f t="shared" si="42"/>
        <v>2.6595655521887829</v>
      </c>
      <c r="E962">
        <f t="shared" si="43"/>
        <v>0</v>
      </c>
      <c r="F962">
        <f t="shared" si="44"/>
        <v>0</v>
      </c>
    </row>
    <row r="963" spans="2:6" x14ac:dyDescent="0.3">
      <c r="B963">
        <v>0.95799999999999996</v>
      </c>
      <c r="C963">
        <v>2.6704750107219</v>
      </c>
      <c r="D963">
        <f t="shared" si="42"/>
        <v>2.6704750107218995</v>
      </c>
      <c r="E963">
        <f t="shared" si="43"/>
        <v>0</v>
      </c>
      <c r="F963">
        <f t="shared" si="44"/>
        <v>0</v>
      </c>
    </row>
    <row r="964" spans="2:6" x14ac:dyDescent="0.3">
      <c r="B964">
        <v>0.95899999999999996</v>
      </c>
      <c r="C964">
        <v>2.6816628601311301</v>
      </c>
      <c r="D964">
        <f t="shared" si="42"/>
        <v>2.6816628601311367</v>
      </c>
      <c r="E964">
        <f t="shared" si="43"/>
        <v>6.6613381477509392E-15</v>
      </c>
      <c r="F964">
        <f t="shared" si="44"/>
        <v>2.4424906541753444E-15</v>
      </c>
    </row>
    <row r="965" spans="2:6" x14ac:dyDescent="0.3">
      <c r="B965">
        <v>0.96</v>
      </c>
      <c r="C965">
        <v>2.69314296474059</v>
      </c>
      <c r="D965">
        <f t="shared" si="42"/>
        <v>2.6931429647405927</v>
      </c>
      <c r="E965">
        <f t="shared" si="43"/>
        <v>0</v>
      </c>
      <c r="F965">
        <f t="shared" si="44"/>
        <v>0</v>
      </c>
    </row>
    <row r="966" spans="2:6" x14ac:dyDescent="0.3">
      <c r="B966">
        <v>0.96099999999999997</v>
      </c>
      <c r="C966">
        <v>2.7049302455547499</v>
      </c>
      <c r="D966">
        <f t="shared" ref="D966:D1004" si="45">completeElliptic1($B966*$B966)</f>
        <v>2.7049302455547588</v>
      </c>
      <c r="E966">
        <f t="shared" ref="E966:E1004" si="46">$D966-$C966</f>
        <v>8.8817841970012523E-15</v>
      </c>
      <c r="F966">
        <f t="shared" ref="F966:F1004" si="47">$D966/$C966-1</f>
        <v>3.3306690738754696E-15</v>
      </c>
    </row>
    <row r="967" spans="2:6" x14ac:dyDescent="0.3">
      <c r="B967">
        <v>0.96199999999999997</v>
      </c>
      <c r="C967">
        <v>2.7170407902597602</v>
      </c>
      <c r="D967">
        <f t="shared" si="45"/>
        <v>2.7170407902597695</v>
      </c>
      <c r="E967">
        <f t="shared" si="46"/>
        <v>9.3258734068513149E-15</v>
      </c>
      <c r="F967">
        <f t="shared" si="47"/>
        <v>3.3306690738754696E-15</v>
      </c>
    </row>
    <row r="968" spans="2:6" x14ac:dyDescent="0.3">
      <c r="B968">
        <v>0.96299999999999997</v>
      </c>
      <c r="C968">
        <v>2.7294919779115601</v>
      </c>
      <c r="D968">
        <f t="shared" si="45"/>
        <v>2.7294919779115645</v>
      </c>
      <c r="E968">
        <f t="shared" si="46"/>
        <v>4.4408920985006262E-15</v>
      </c>
      <c r="F968">
        <f t="shared" si="47"/>
        <v>0</v>
      </c>
    </row>
    <row r="969" spans="2:6" x14ac:dyDescent="0.3">
      <c r="B969">
        <v>0.96399999999999997</v>
      </c>
      <c r="C969">
        <v>2.7423026207279202</v>
      </c>
      <c r="D969">
        <f t="shared" si="45"/>
        <v>2.7423026207279286</v>
      </c>
      <c r="E969">
        <f t="shared" si="46"/>
        <v>8.4376949871511897E-15</v>
      </c>
      <c r="F969">
        <f t="shared" si="47"/>
        <v>3.1086244689504383E-15</v>
      </c>
    </row>
    <row r="970" spans="2:6" x14ac:dyDescent="0.3">
      <c r="B970">
        <v>0.96499999999999997</v>
      </c>
      <c r="C970">
        <v>2.7554931258783801</v>
      </c>
      <c r="D970">
        <f t="shared" si="45"/>
        <v>2.7554931258783881</v>
      </c>
      <c r="E970">
        <f t="shared" si="46"/>
        <v>7.9936057773011271E-15</v>
      </c>
      <c r="F970">
        <f t="shared" si="47"/>
        <v>2.886579864025407E-15</v>
      </c>
    </row>
    <row r="971" spans="2:6" x14ac:dyDescent="0.3">
      <c r="B971">
        <v>0.96599999999999997</v>
      </c>
      <c r="C971">
        <v>2.7690856807537401</v>
      </c>
      <c r="D971">
        <f t="shared" si="45"/>
        <v>2.7690856807537467</v>
      </c>
      <c r="E971">
        <f t="shared" si="46"/>
        <v>6.6613381477509392E-15</v>
      </c>
      <c r="F971">
        <f t="shared" si="47"/>
        <v>2.4424906541753444E-15</v>
      </c>
    </row>
    <row r="972" spans="2:6" x14ac:dyDescent="0.3">
      <c r="B972">
        <v>0.96699999999999997</v>
      </c>
      <c r="C972">
        <v>2.7831044659252999</v>
      </c>
      <c r="D972">
        <f t="shared" si="45"/>
        <v>2.7831044659253026</v>
      </c>
      <c r="E972">
        <f t="shared" si="46"/>
        <v>0</v>
      </c>
      <c r="F972">
        <f t="shared" si="47"/>
        <v>0</v>
      </c>
    </row>
    <row r="973" spans="2:6" x14ac:dyDescent="0.3">
      <c r="B973">
        <v>0.96799999999999997</v>
      </c>
      <c r="C973">
        <v>2.7975759009115002</v>
      </c>
      <c r="D973">
        <f t="shared" si="45"/>
        <v>2.7975759009115069</v>
      </c>
      <c r="E973">
        <f t="shared" si="46"/>
        <v>6.6613381477509392E-15</v>
      </c>
      <c r="F973">
        <f t="shared" si="47"/>
        <v>2.4424906541753444E-15</v>
      </c>
    </row>
    <row r="974" spans="2:6" x14ac:dyDescent="0.3">
      <c r="B974">
        <v>0.96899999999999997</v>
      </c>
      <c r="C974">
        <v>2.8125289290083102</v>
      </c>
      <c r="D974">
        <f t="shared" si="45"/>
        <v>2.8125289290083142</v>
      </c>
      <c r="E974">
        <f t="shared" si="46"/>
        <v>3.9968028886505635E-15</v>
      </c>
      <c r="F974">
        <f t="shared" si="47"/>
        <v>0</v>
      </c>
    </row>
    <row r="975" spans="2:6" x14ac:dyDescent="0.3">
      <c r="B975">
        <v>0.97</v>
      </c>
      <c r="C975">
        <v>2.8279953488768999</v>
      </c>
      <c r="D975">
        <f t="shared" si="45"/>
        <v>2.8279953488769043</v>
      </c>
      <c r="E975">
        <f t="shared" si="46"/>
        <v>4.4408920985006262E-15</v>
      </c>
      <c r="F975">
        <f t="shared" si="47"/>
        <v>0</v>
      </c>
    </row>
    <row r="976" spans="2:6" x14ac:dyDescent="0.3">
      <c r="B976">
        <v>0.97099999999999997</v>
      </c>
      <c r="C976">
        <v>2.8440102024101002</v>
      </c>
      <c r="D976">
        <f t="shared" si="45"/>
        <v>2.8440102024101002</v>
      </c>
      <c r="E976">
        <f t="shared" si="46"/>
        <v>0</v>
      </c>
      <c r="F976">
        <f t="shared" si="47"/>
        <v>0</v>
      </c>
    </row>
    <row r="977" spans="2:6" x14ac:dyDescent="0.3">
      <c r="B977">
        <v>0.97199999999999998</v>
      </c>
      <c r="C977">
        <v>2.8606122307400899</v>
      </c>
      <c r="D977">
        <f t="shared" si="45"/>
        <v>2.8606122307400939</v>
      </c>
      <c r="E977">
        <f t="shared" si="46"/>
        <v>3.9968028886505635E-15</v>
      </c>
      <c r="F977">
        <f t="shared" si="47"/>
        <v>0</v>
      </c>
    </row>
    <row r="978" spans="2:6" x14ac:dyDescent="0.3">
      <c r="B978">
        <v>0.97299999999999998</v>
      </c>
      <c r="C978">
        <v>2.8778444132732401</v>
      </c>
      <c r="D978">
        <f t="shared" si="45"/>
        <v>2.8778444132732481</v>
      </c>
      <c r="E978">
        <f t="shared" si="46"/>
        <v>7.9936057773011271E-15</v>
      </c>
      <c r="F978">
        <f t="shared" si="47"/>
        <v>2.886579864025407E-15</v>
      </c>
    </row>
    <row r="979" spans="2:6" x14ac:dyDescent="0.3">
      <c r="B979">
        <v>0.97399999999999998</v>
      </c>
      <c r="C979">
        <v>2.8957546085747299</v>
      </c>
      <c r="D979">
        <f t="shared" si="45"/>
        <v>2.8957546085747352</v>
      </c>
      <c r="E979">
        <f t="shared" si="46"/>
        <v>5.3290705182007514E-15</v>
      </c>
      <c r="F979">
        <f t="shared" si="47"/>
        <v>1.7763568394002505E-15</v>
      </c>
    </row>
    <row r="980" spans="2:6" x14ac:dyDescent="0.3">
      <c r="B980">
        <v>0.97499999999999998</v>
      </c>
      <c r="C980">
        <v>2.9143963210994399</v>
      </c>
      <c r="D980">
        <f t="shared" si="45"/>
        <v>2.9143963210994466</v>
      </c>
      <c r="E980">
        <f t="shared" si="46"/>
        <v>6.6613381477509392E-15</v>
      </c>
      <c r="F980">
        <f t="shared" si="47"/>
        <v>2.2204460492503131E-15</v>
      </c>
    </row>
    <row r="981" spans="2:6" x14ac:dyDescent="0.3">
      <c r="B981">
        <v>0.97599999999999998</v>
      </c>
      <c r="C981">
        <v>2.93382962463102</v>
      </c>
      <c r="D981">
        <f t="shared" si="45"/>
        <v>2.9338296246310245</v>
      </c>
      <c r="E981">
        <f t="shared" si="46"/>
        <v>4.4408920985006262E-15</v>
      </c>
      <c r="F981">
        <f t="shared" si="47"/>
        <v>0</v>
      </c>
    </row>
    <row r="982" spans="2:6" x14ac:dyDescent="0.3">
      <c r="B982">
        <v>0.97699999999999998</v>
      </c>
      <c r="C982">
        <v>2.9541222824967801</v>
      </c>
      <c r="D982">
        <f t="shared" si="45"/>
        <v>2.9541222824967832</v>
      </c>
      <c r="E982">
        <f t="shared" si="46"/>
        <v>0</v>
      </c>
      <c r="F982">
        <f t="shared" si="47"/>
        <v>0</v>
      </c>
    </row>
    <row r="983" spans="2:6" x14ac:dyDescent="0.3">
      <c r="B983">
        <v>0.97799999999999998</v>
      </c>
      <c r="C983">
        <v>2.9753511171105198</v>
      </c>
      <c r="D983">
        <f t="shared" si="45"/>
        <v>2.9753511171105202</v>
      </c>
      <c r="E983">
        <f t="shared" si="46"/>
        <v>0</v>
      </c>
      <c r="F983">
        <f t="shared" si="47"/>
        <v>0</v>
      </c>
    </row>
    <row r="984" spans="2:6" x14ac:dyDescent="0.3">
      <c r="B984">
        <v>0.97899999999999998</v>
      </c>
      <c r="C984">
        <v>2.9976036985323198</v>
      </c>
      <c r="D984">
        <f t="shared" si="45"/>
        <v>2.9976036985323269</v>
      </c>
      <c r="E984">
        <f t="shared" si="46"/>
        <v>7.1054273576010019E-15</v>
      </c>
      <c r="F984">
        <f t="shared" si="47"/>
        <v>2.4424906541753444E-15</v>
      </c>
    </row>
    <row r="985" spans="2:6" x14ac:dyDescent="0.3">
      <c r="B985">
        <v>0.98</v>
      </c>
      <c r="C985">
        <v>3.02098044557115</v>
      </c>
      <c r="D985">
        <f t="shared" si="45"/>
        <v>3.020980445571154</v>
      </c>
      <c r="E985">
        <f t="shared" si="46"/>
        <v>3.9968028886505635E-15</v>
      </c>
      <c r="F985">
        <f t="shared" si="47"/>
        <v>0</v>
      </c>
    </row>
    <row r="986" spans="2:6" x14ac:dyDescent="0.3">
      <c r="B986">
        <v>0.98099999999999998</v>
      </c>
      <c r="C986">
        <v>3.0455972665901698</v>
      </c>
      <c r="D986">
        <f t="shared" si="45"/>
        <v>3.0455972665901743</v>
      </c>
      <c r="E986">
        <f t="shared" si="46"/>
        <v>4.4408920985006262E-15</v>
      </c>
      <c r="F986">
        <f t="shared" si="47"/>
        <v>0</v>
      </c>
    </row>
    <row r="987" spans="2:6" x14ac:dyDescent="0.3">
      <c r="B987">
        <v>0.98199999999999998</v>
      </c>
      <c r="C987">
        <v>3.07158891538392</v>
      </c>
      <c r="D987">
        <f t="shared" si="45"/>
        <v>3.0715889153839218</v>
      </c>
      <c r="E987">
        <f t="shared" si="46"/>
        <v>0</v>
      </c>
      <c r="F987">
        <f t="shared" si="47"/>
        <v>0</v>
      </c>
    </row>
    <row r="988" spans="2:6" x14ac:dyDescent="0.3">
      <c r="B988">
        <v>0.98299999999999998</v>
      </c>
      <c r="C988">
        <v>3.0991133077931101</v>
      </c>
      <c r="D988">
        <f t="shared" si="45"/>
        <v>3.0991133077931132</v>
      </c>
      <c r="E988">
        <f t="shared" si="46"/>
        <v>0</v>
      </c>
      <c r="F988">
        <f t="shared" si="47"/>
        <v>0</v>
      </c>
    </row>
    <row r="989" spans="2:6" x14ac:dyDescent="0.3">
      <c r="B989">
        <v>0.98399999999999999</v>
      </c>
      <c r="C989">
        <v>3.1283571491875102</v>
      </c>
      <c r="D989">
        <f t="shared" si="45"/>
        <v>3.1283571491875151</v>
      </c>
      <c r="E989">
        <f t="shared" si="46"/>
        <v>4.8849813083506888E-15</v>
      </c>
      <c r="F989">
        <f t="shared" si="47"/>
        <v>0</v>
      </c>
    </row>
    <row r="990" spans="2:6" x14ac:dyDescent="0.3">
      <c r="B990">
        <v>0.98499999999999999</v>
      </c>
      <c r="C990">
        <v>3.1595433814766198</v>
      </c>
      <c r="D990">
        <f t="shared" si="45"/>
        <v>3.1595433814766234</v>
      </c>
      <c r="E990">
        <f t="shared" si="46"/>
        <v>3.5527136788005009E-15</v>
      </c>
      <c r="F990">
        <f t="shared" si="47"/>
        <v>0</v>
      </c>
    </row>
    <row r="991" spans="2:6" x14ac:dyDescent="0.3">
      <c r="B991">
        <v>0.98599999999999999</v>
      </c>
      <c r="C991">
        <v>3.1929412045688301</v>
      </c>
      <c r="D991">
        <f t="shared" si="45"/>
        <v>3.1929412045688355</v>
      </c>
      <c r="E991">
        <f t="shared" si="46"/>
        <v>5.3290705182007514E-15</v>
      </c>
      <c r="F991">
        <f t="shared" si="47"/>
        <v>1.7763568394002505E-15</v>
      </c>
    </row>
    <row r="992" spans="2:6" x14ac:dyDescent="0.3">
      <c r="B992">
        <v>0.98699999999999999</v>
      </c>
      <c r="C992">
        <v>3.2288798198953002</v>
      </c>
      <c r="D992">
        <f t="shared" si="45"/>
        <v>3.2288798198953037</v>
      </c>
      <c r="E992">
        <f t="shared" si="46"/>
        <v>3.5527136788005009E-15</v>
      </c>
      <c r="F992">
        <f t="shared" si="47"/>
        <v>0</v>
      </c>
    </row>
    <row r="993" spans="2:6" x14ac:dyDescent="0.3">
      <c r="B993">
        <v>0.98799999999999999</v>
      </c>
      <c r="C993">
        <v>3.2677676886192799</v>
      </c>
      <c r="D993">
        <f t="shared" si="45"/>
        <v>3.2677676886192821</v>
      </c>
      <c r="E993">
        <f t="shared" si="46"/>
        <v>0</v>
      </c>
      <c r="F993">
        <f t="shared" si="47"/>
        <v>0</v>
      </c>
    </row>
    <row r="994" spans="2:6" x14ac:dyDescent="0.3">
      <c r="B994">
        <v>0.98899999999999999</v>
      </c>
      <c r="C994">
        <v>3.3101201928779198</v>
      </c>
      <c r="D994">
        <f t="shared" si="45"/>
        <v>3.3101201928779274</v>
      </c>
      <c r="E994">
        <f t="shared" si="46"/>
        <v>7.5495165674510645E-15</v>
      </c>
      <c r="F994">
        <f t="shared" si="47"/>
        <v>2.2204460492503131E-15</v>
      </c>
    </row>
    <row r="995" spans="2:6" x14ac:dyDescent="0.3">
      <c r="B995">
        <v>0.99</v>
      </c>
      <c r="C995">
        <v>3.3566005233611902</v>
      </c>
      <c r="D995">
        <f t="shared" si="45"/>
        <v>3.3566005233611915</v>
      </c>
      <c r="E995">
        <f t="shared" si="46"/>
        <v>0</v>
      </c>
      <c r="F995">
        <f t="shared" si="47"/>
        <v>0</v>
      </c>
    </row>
    <row r="996" spans="2:6" x14ac:dyDescent="0.3">
      <c r="B996">
        <v>0.99099999999999999</v>
      </c>
      <c r="C996">
        <v>3.4080821910947998</v>
      </c>
      <c r="D996">
        <f t="shared" si="45"/>
        <v>3.408082191094802</v>
      </c>
      <c r="E996">
        <f t="shared" si="46"/>
        <v>0</v>
      </c>
      <c r="F996">
        <f t="shared" si="47"/>
        <v>0</v>
      </c>
    </row>
    <row r="997" spans="2:6" x14ac:dyDescent="0.3">
      <c r="B997">
        <v>0.99199999999999999</v>
      </c>
      <c r="C997">
        <v>3.4657485255235998</v>
      </c>
      <c r="D997">
        <f t="shared" si="45"/>
        <v>3.4657485255235985</v>
      </c>
      <c r="E997">
        <f t="shared" si="46"/>
        <v>0</v>
      </c>
      <c r="F997">
        <f t="shared" si="47"/>
        <v>0</v>
      </c>
    </row>
    <row r="998" spans="2:6" x14ac:dyDescent="0.3">
      <c r="B998">
        <v>0.99299999999999999</v>
      </c>
      <c r="C998">
        <v>3.5312589830524499</v>
      </c>
      <c r="D998">
        <f t="shared" si="45"/>
        <v>3.5312589830524503</v>
      </c>
      <c r="E998">
        <f t="shared" si="46"/>
        <v>0</v>
      </c>
      <c r="F998">
        <f t="shared" si="47"/>
        <v>0</v>
      </c>
    </row>
    <row r="999" spans="2:6" x14ac:dyDescent="0.3">
      <c r="B999">
        <v>0.99399999999999999</v>
      </c>
      <c r="C999">
        <v>3.6070445634064798</v>
      </c>
      <c r="D999">
        <f t="shared" si="45"/>
        <v>3.6070445634064834</v>
      </c>
      <c r="E999">
        <f t="shared" si="46"/>
        <v>3.5527136788005009E-15</v>
      </c>
      <c r="F999">
        <f t="shared" si="47"/>
        <v>0</v>
      </c>
    </row>
    <row r="1000" spans="2:6" x14ac:dyDescent="0.3">
      <c r="B1000">
        <v>0.995</v>
      </c>
      <c r="C1000">
        <v>3.6968750823937002</v>
      </c>
      <c r="D1000">
        <f t="shared" si="45"/>
        <v>3.6968750823937064</v>
      </c>
      <c r="E1000">
        <f t="shared" si="46"/>
        <v>6.2172489379008766E-15</v>
      </c>
      <c r="F1000">
        <f t="shared" si="47"/>
        <v>1.7763568394002505E-15</v>
      </c>
    </row>
    <row r="1001" spans="2:6" x14ac:dyDescent="0.3">
      <c r="B1001">
        <v>0.996</v>
      </c>
      <c r="C1001">
        <v>3.8070676764836899</v>
      </c>
      <c r="D1001">
        <f t="shared" si="45"/>
        <v>3.8070676764836953</v>
      </c>
      <c r="E1001">
        <f t="shared" si="46"/>
        <v>5.3290705182007514E-15</v>
      </c>
      <c r="F1001">
        <f t="shared" si="47"/>
        <v>0</v>
      </c>
    </row>
    <row r="1002" spans="2:6" x14ac:dyDescent="0.3">
      <c r="B1002">
        <v>0.997</v>
      </c>
      <c r="C1002">
        <v>3.9494678475237701</v>
      </c>
      <c r="D1002">
        <f t="shared" si="45"/>
        <v>3.9494678475237781</v>
      </c>
      <c r="E1002">
        <f t="shared" si="46"/>
        <v>7.9936057773011271E-15</v>
      </c>
      <c r="F1002">
        <f t="shared" si="47"/>
        <v>1.9984014443252818E-15</v>
      </c>
    </row>
    <row r="1003" spans="2:6" x14ac:dyDescent="0.3">
      <c r="B1003">
        <v>0.998</v>
      </c>
      <c r="C1003">
        <v>4.1506761595013604</v>
      </c>
      <c r="D1003">
        <f t="shared" si="45"/>
        <v>4.1506761595013693</v>
      </c>
      <c r="E1003">
        <f t="shared" si="46"/>
        <v>8.8817841970012523E-15</v>
      </c>
      <c r="F1003">
        <f t="shared" si="47"/>
        <v>2.2204460492503131E-15</v>
      </c>
    </row>
    <row r="1004" spans="2:6" x14ac:dyDescent="0.3">
      <c r="B1004">
        <v>0.999</v>
      </c>
      <c r="C1004">
        <v>4.4955963958421403</v>
      </c>
      <c r="D1004">
        <f t="shared" si="45"/>
        <v>4.495596395842151</v>
      </c>
      <c r="E1004">
        <f t="shared" si="46"/>
        <v>1.0658141036401503E-14</v>
      </c>
      <c r="F1004">
        <f t="shared" si="47"/>
        <v>2.4424906541753444E-15</v>
      </c>
    </row>
  </sheetData>
  <pageMargins left="0.25" right="0.25" top="0.75" bottom="0.75" header="0.3" footer="0.3"/>
  <pageSetup scale="5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C44"/>
  <sheetViews>
    <sheetView workbookViewId="0">
      <selection activeCell="O9" sqref="O9"/>
    </sheetView>
  </sheetViews>
  <sheetFormatPr defaultRowHeight="15.6" x14ac:dyDescent="0.3"/>
  <cols>
    <col min="2" max="2" width="9" style="9"/>
    <col min="3" max="3" width="11.8984375" bestFit="1" customWidth="1"/>
  </cols>
  <sheetData>
    <row r="3" spans="2:3" x14ac:dyDescent="0.3">
      <c r="B3" s="9">
        <v>-304</v>
      </c>
      <c r="C3">
        <f xml:space="preserve"> completeElliptic1_comp(10 ^ $B3)</f>
        <v>351.37922849621486</v>
      </c>
    </row>
    <row r="4" spans="2:3" x14ac:dyDescent="0.3">
      <c r="B4" s="9">
        <f xml:space="preserve"> $B3 - 0.1</f>
        <v>-304.10000000000002</v>
      </c>
      <c r="C4">
        <f t="shared" ref="C4:C44" si="0" xml:space="preserve"> completeElliptic1_comp(10 ^ $B4)</f>
        <v>351.49435775086459</v>
      </c>
    </row>
    <row r="5" spans="2:3" x14ac:dyDescent="0.3">
      <c r="B5" s="9">
        <f t="shared" ref="B5:B44" si="1" xml:space="preserve"> $B4 - 0.1</f>
        <v>-304.20000000000005</v>
      </c>
      <c r="C5">
        <f t="shared" si="0"/>
        <v>351.60948700551432</v>
      </c>
    </row>
    <row r="6" spans="2:3" x14ac:dyDescent="0.3">
      <c r="B6" s="9">
        <f t="shared" si="1"/>
        <v>-304.30000000000007</v>
      </c>
      <c r="C6">
        <f t="shared" si="0"/>
        <v>351.72461626016405</v>
      </c>
    </row>
    <row r="7" spans="2:3" x14ac:dyDescent="0.3">
      <c r="B7" s="9">
        <f t="shared" si="1"/>
        <v>-304.40000000000009</v>
      </c>
      <c r="C7">
        <f t="shared" si="0"/>
        <v>351.83974551481379</v>
      </c>
    </row>
    <row r="8" spans="2:3" x14ac:dyDescent="0.3">
      <c r="B8" s="9">
        <f t="shared" si="1"/>
        <v>-304.50000000000011</v>
      </c>
      <c r="C8">
        <f t="shared" si="0"/>
        <v>351.95487476946352</v>
      </c>
    </row>
    <row r="9" spans="2:3" x14ac:dyDescent="0.3">
      <c r="B9" s="9">
        <f t="shared" si="1"/>
        <v>-304.60000000000014</v>
      </c>
      <c r="C9">
        <f t="shared" si="0"/>
        <v>352.07000402411325</v>
      </c>
    </row>
    <row r="10" spans="2:3" x14ac:dyDescent="0.3">
      <c r="B10" s="9">
        <f t="shared" si="1"/>
        <v>-304.70000000000016</v>
      </c>
      <c r="C10">
        <f t="shared" si="0"/>
        <v>352.18513327876298</v>
      </c>
    </row>
    <row r="11" spans="2:3" x14ac:dyDescent="0.3">
      <c r="B11" s="9">
        <f t="shared" si="1"/>
        <v>-304.80000000000018</v>
      </c>
      <c r="C11">
        <f t="shared" si="0"/>
        <v>352.30026253341271</v>
      </c>
    </row>
    <row r="12" spans="2:3" x14ac:dyDescent="0.3">
      <c r="B12" s="9">
        <f t="shared" si="1"/>
        <v>-304.9000000000002</v>
      </c>
      <c r="C12">
        <f t="shared" si="0"/>
        <v>352.41539178806244</v>
      </c>
    </row>
    <row r="13" spans="2:3" x14ac:dyDescent="0.3">
      <c r="B13" s="9">
        <f t="shared" si="1"/>
        <v>-305.00000000000023</v>
      </c>
      <c r="C13">
        <f t="shared" si="0"/>
        <v>352.53052104271217</v>
      </c>
    </row>
    <row r="14" spans="2:3" x14ac:dyDescent="0.3">
      <c r="B14" s="9">
        <f t="shared" si="1"/>
        <v>-305.10000000000025</v>
      </c>
      <c r="C14">
        <f t="shared" si="0"/>
        <v>352.6456502973619</v>
      </c>
    </row>
    <row r="15" spans="2:3" x14ac:dyDescent="0.3">
      <c r="B15" s="9">
        <f t="shared" si="1"/>
        <v>-305.20000000000027</v>
      </c>
      <c r="C15">
        <f t="shared" si="0"/>
        <v>352.76077955201163</v>
      </c>
    </row>
    <row r="16" spans="2:3" x14ac:dyDescent="0.3">
      <c r="B16" s="9">
        <f t="shared" si="1"/>
        <v>-305.3000000000003</v>
      </c>
      <c r="C16">
        <f t="shared" si="0"/>
        <v>352.87590880666136</v>
      </c>
    </row>
    <row r="17" spans="2:3" x14ac:dyDescent="0.3">
      <c r="B17" s="9">
        <f t="shared" si="1"/>
        <v>-305.40000000000032</v>
      </c>
      <c r="C17">
        <f t="shared" si="0"/>
        <v>352.99103806131109</v>
      </c>
    </row>
    <row r="18" spans="2:3" x14ac:dyDescent="0.3">
      <c r="B18" s="9">
        <f t="shared" si="1"/>
        <v>-305.50000000000034</v>
      </c>
      <c r="C18">
        <f t="shared" si="0"/>
        <v>353.10616731596082</v>
      </c>
    </row>
    <row r="19" spans="2:3" x14ac:dyDescent="0.3">
      <c r="B19" s="9">
        <f t="shared" si="1"/>
        <v>-305.60000000000036</v>
      </c>
      <c r="C19">
        <f t="shared" si="0"/>
        <v>353.22129657061055</v>
      </c>
    </row>
    <row r="20" spans="2:3" x14ac:dyDescent="0.3">
      <c r="B20" s="9">
        <f t="shared" si="1"/>
        <v>-305.70000000000039</v>
      </c>
      <c r="C20">
        <f t="shared" si="0"/>
        <v>353.33642582526028</v>
      </c>
    </row>
    <row r="21" spans="2:3" x14ac:dyDescent="0.3">
      <c r="B21" s="9">
        <f t="shared" si="1"/>
        <v>-305.80000000000041</v>
      </c>
      <c r="C21">
        <f t="shared" si="0"/>
        <v>353.45155507991001</v>
      </c>
    </row>
    <row r="22" spans="2:3" x14ac:dyDescent="0.3">
      <c r="B22" s="9">
        <f t="shared" si="1"/>
        <v>-305.90000000000043</v>
      </c>
      <c r="C22">
        <f t="shared" si="0"/>
        <v>353.56668433455974</v>
      </c>
    </row>
    <row r="23" spans="2:3" x14ac:dyDescent="0.3">
      <c r="B23" s="9">
        <f t="shared" si="1"/>
        <v>-306.00000000000045</v>
      </c>
      <c r="C23">
        <f t="shared" si="0"/>
        <v>353.68181358920947</v>
      </c>
    </row>
    <row r="24" spans="2:3" x14ac:dyDescent="0.3">
      <c r="B24" s="9">
        <f t="shared" si="1"/>
        <v>-306.10000000000048</v>
      </c>
      <c r="C24">
        <f t="shared" si="0"/>
        <v>353.79694284385914</v>
      </c>
    </row>
    <row r="25" spans="2:3" x14ac:dyDescent="0.3">
      <c r="B25" s="9">
        <f t="shared" si="1"/>
        <v>-306.2000000000005</v>
      </c>
      <c r="C25">
        <f t="shared" si="0"/>
        <v>353.91207209850887</v>
      </c>
    </row>
    <row r="26" spans="2:3" x14ac:dyDescent="0.3">
      <c r="B26" s="9">
        <f t="shared" si="1"/>
        <v>-306.30000000000052</v>
      </c>
      <c r="C26">
        <f t="shared" si="0"/>
        <v>354.0272013531586</v>
      </c>
    </row>
    <row r="27" spans="2:3" x14ac:dyDescent="0.3">
      <c r="B27" s="9">
        <f t="shared" si="1"/>
        <v>-306.40000000000055</v>
      </c>
      <c r="C27">
        <f t="shared" si="0"/>
        <v>354.14233060780833</v>
      </c>
    </row>
    <row r="28" spans="2:3" x14ac:dyDescent="0.3">
      <c r="B28" s="9">
        <f t="shared" si="1"/>
        <v>-306.50000000000057</v>
      </c>
      <c r="C28">
        <f t="shared" si="0"/>
        <v>354.25745986245806</v>
      </c>
    </row>
    <row r="29" spans="2:3" x14ac:dyDescent="0.3">
      <c r="B29" s="9">
        <f t="shared" si="1"/>
        <v>-306.60000000000059</v>
      </c>
      <c r="C29">
        <f t="shared" si="0"/>
        <v>354.37258911710779</v>
      </c>
    </row>
    <row r="30" spans="2:3" x14ac:dyDescent="0.3">
      <c r="B30" s="9">
        <f t="shared" si="1"/>
        <v>-306.70000000000061</v>
      </c>
      <c r="C30">
        <f t="shared" si="0"/>
        <v>354.48771837175752</v>
      </c>
    </row>
    <row r="31" spans="2:3" x14ac:dyDescent="0.3">
      <c r="B31" s="9">
        <f t="shared" si="1"/>
        <v>-306.80000000000064</v>
      </c>
      <c r="C31">
        <f t="shared" si="0"/>
        <v>354.60284762640725</v>
      </c>
    </row>
    <row r="32" spans="2:3" x14ac:dyDescent="0.3">
      <c r="B32" s="9">
        <f t="shared" si="1"/>
        <v>-306.90000000000066</v>
      </c>
      <c r="C32">
        <f t="shared" si="0"/>
        <v>354.71797688105698</v>
      </c>
    </row>
    <row r="33" spans="2:3" x14ac:dyDescent="0.3">
      <c r="B33" s="9">
        <f xml:space="preserve"> $B32 - 0.1</f>
        <v>-307.00000000000068</v>
      </c>
      <c r="C33">
        <f t="shared" si="0"/>
        <v>354.83310613570671</v>
      </c>
    </row>
    <row r="34" spans="2:3" x14ac:dyDescent="0.3">
      <c r="B34" s="9">
        <f t="shared" si="1"/>
        <v>-307.1000000000007</v>
      </c>
      <c r="C34">
        <f t="shared" si="0"/>
        <v>354.94823539035644</v>
      </c>
    </row>
    <row r="35" spans="2:3" x14ac:dyDescent="0.3">
      <c r="B35" s="9">
        <f t="shared" si="1"/>
        <v>-307.20000000000073</v>
      </c>
      <c r="C35">
        <f t="shared" si="0"/>
        <v>355.06336464500617</v>
      </c>
    </row>
    <row r="36" spans="2:3" x14ac:dyDescent="0.3">
      <c r="B36" s="9">
        <f t="shared" si="1"/>
        <v>-307.30000000000075</v>
      </c>
      <c r="C36">
        <f t="shared" si="0"/>
        <v>355.1784938996559</v>
      </c>
    </row>
    <row r="37" spans="2:3" x14ac:dyDescent="0.3">
      <c r="B37" s="9">
        <f t="shared" si="1"/>
        <v>-307.40000000000077</v>
      </c>
      <c r="C37">
        <f t="shared" si="0"/>
        <v>355.29362315430564</v>
      </c>
    </row>
    <row r="38" spans="2:3" x14ac:dyDescent="0.3">
      <c r="B38" s="9">
        <f t="shared" si="1"/>
        <v>-307.5000000000008</v>
      </c>
      <c r="C38">
        <f t="shared" si="0"/>
        <v>355.40875240895537</v>
      </c>
    </row>
    <row r="39" spans="2:3" x14ac:dyDescent="0.3">
      <c r="B39" s="9">
        <f t="shared" si="1"/>
        <v>-307.60000000000082</v>
      </c>
      <c r="C39">
        <f t="shared" si="0"/>
        <v>355.5238816636051</v>
      </c>
    </row>
    <row r="40" spans="2:3" x14ac:dyDescent="0.3">
      <c r="B40" s="9">
        <f t="shared" si="1"/>
        <v>-307.70000000000084</v>
      </c>
      <c r="C40">
        <f t="shared" si="0"/>
        <v>700</v>
      </c>
    </row>
    <row r="41" spans="2:3" x14ac:dyDescent="0.3">
      <c r="B41" s="9">
        <f t="shared" si="1"/>
        <v>-307.80000000000086</v>
      </c>
      <c r="C41">
        <f t="shared" si="0"/>
        <v>700</v>
      </c>
    </row>
    <row r="42" spans="2:3" x14ac:dyDescent="0.3">
      <c r="B42" s="9">
        <f t="shared" si="1"/>
        <v>-307.90000000000089</v>
      </c>
      <c r="C42">
        <f t="shared" si="0"/>
        <v>700</v>
      </c>
    </row>
    <row r="43" spans="2:3" x14ac:dyDescent="0.3">
      <c r="B43" s="9">
        <f t="shared" si="1"/>
        <v>-308.00000000000091</v>
      </c>
      <c r="C43">
        <f t="shared" si="0"/>
        <v>700</v>
      </c>
    </row>
    <row r="44" spans="2:3" x14ac:dyDescent="0.3">
      <c r="B44" s="9">
        <f t="shared" si="1"/>
        <v>-308.10000000000093</v>
      </c>
      <c r="C44">
        <f t="shared" si="0"/>
        <v>700</v>
      </c>
    </row>
  </sheetData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Main</vt:lpstr>
      <vt:lpstr>CompEllInt</vt:lpstr>
      <vt:lpstr>Near M=1</vt:lpstr>
      <vt:lpstr>m</vt:lpstr>
      <vt:lpstr>CompEllInt!Print_Area</vt:lpstr>
      <vt:lpstr>Main!Print_Area</vt:lpstr>
      <vt:lpstr>'Near M=1'!Print_Area</vt:lpstr>
      <vt:lpstr>xM</vt:lpstr>
    </vt:vector>
  </TitlesOfParts>
  <Company>LLNL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B. Trenholme</dc:creator>
  <cp:lastModifiedBy>John Trenholme</cp:lastModifiedBy>
  <cp:lastPrinted>2014-07-16T02:13:15Z</cp:lastPrinted>
  <dcterms:created xsi:type="dcterms:W3CDTF">2014-06-05T00:38:18Z</dcterms:created>
  <dcterms:modified xsi:type="dcterms:W3CDTF">2019-06-22T20:33:43Z</dcterms:modified>
</cp:coreProperties>
</file>